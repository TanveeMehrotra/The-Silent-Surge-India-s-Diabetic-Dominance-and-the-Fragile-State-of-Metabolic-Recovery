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Data Analytics\excel\OWN WORK\"/>
    </mc:Choice>
  </mc:AlternateContent>
  <xr:revisionPtr revIDLastSave="0" documentId="13_ncr:1_{AAA60AB5-B018-4D0C-A840-E611371DAAC8}" xr6:coauthVersionLast="47" xr6:coauthVersionMax="47" xr10:uidLastSave="{00000000-0000-0000-0000-000000000000}"/>
  <bookViews>
    <workbookView xWindow="-110" yWindow="-110" windowWidth="19420" windowHeight="11500" activeTab="4" xr2:uid="{00000000-000D-0000-FFFF-FFFF00000000}"/>
  </bookViews>
  <sheets>
    <sheet name="definitions" sheetId="2" r:id="rId1"/>
    <sheet name="Sheet1" sheetId="4" r:id="rId2"/>
    <sheet name="Sheet3" sheetId="3" r:id="rId3"/>
    <sheet name="Sheet2" sheetId="5" r:id="rId4"/>
    <sheet name="data" sheetId="1" r:id="rId5"/>
  </sheets>
  <definedNames>
    <definedName name="_xlnm._FilterDatabase" localSheetId="4" hidden="1">data!$A$1:$O$1001</definedName>
  </definedNames>
  <calcPr calcId="191029"/>
  <pivotCaches>
    <pivotCache cacheId="0" r:id="rId6"/>
    <pivotCache cacheId="1" r:id="rId7"/>
    <pivotCache cacheId="2" r:id="rId8"/>
    <pivotCache cacheId="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5" i="4" l="1"/>
  <c r="X14" i="4"/>
  <c r="Q7" i="4"/>
  <c r="R7" i="4"/>
  <c r="S7" i="4"/>
  <c r="P7" i="4"/>
  <c r="T6" i="4"/>
  <c r="T5" i="4"/>
  <c r="J7" i="4"/>
  <c r="K7" i="4"/>
  <c r="L7" i="4"/>
  <c r="I7" i="4"/>
  <c r="M6" i="4"/>
  <c r="M5" i="4"/>
  <c r="F6" i="4"/>
  <c r="F5" i="4"/>
  <c r="C7" i="4"/>
  <c r="D7" i="4"/>
  <c r="E7" i="4"/>
  <c r="B7" i="4"/>
  <c r="T7" i="4" l="1"/>
  <c r="F7" i="4"/>
  <c r="M7" i="4"/>
</calcChain>
</file>

<file path=xl/sharedStrings.xml><?xml version="1.0" encoding="utf-8"?>
<sst xmlns="http://schemas.openxmlformats.org/spreadsheetml/2006/main" count="4476" uniqueCount="294">
  <si>
    <t>Country</t>
  </si>
  <si>
    <t>Year</t>
  </si>
  <si>
    <t>Age</t>
  </si>
  <si>
    <t>Gender</t>
  </si>
  <si>
    <t>Age_Group</t>
  </si>
  <si>
    <t>HbA1c</t>
  </si>
  <si>
    <t>HDL</t>
  </si>
  <si>
    <t>LDL</t>
  </si>
  <si>
    <t>TG</t>
  </si>
  <si>
    <t>TG_HDL_Ratio</t>
  </si>
  <si>
    <t>Fasting_Insulin</t>
  </si>
  <si>
    <t>HOMA_IR</t>
  </si>
  <si>
    <t>Diabetic</t>
  </si>
  <si>
    <t>Insulin_Resistant</t>
  </si>
  <si>
    <t>Heart_Risk</t>
  </si>
  <si>
    <t>India</t>
  </si>
  <si>
    <t>Female</t>
  </si>
  <si>
    <t>Adult</t>
  </si>
  <si>
    <t>Medium</t>
  </si>
  <si>
    <t>Elderly</t>
  </si>
  <si>
    <t>High</t>
  </si>
  <si>
    <t>Male</t>
  </si>
  <si>
    <t>Child</t>
  </si>
  <si>
    <t>Low</t>
  </si>
  <si>
    <t>Teen</t>
  </si>
  <si>
    <t>Key Aspects of HbA1c:</t>
  </si>
  <si>
    <r>
      <t>What it measures:</t>
    </r>
    <r>
      <rPr>
        <sz val="8"/>
        <color theme="1"/>
        <rFont val="Arial"/>
        <family val="2"/>
      </rPr>
      <t xml:space="preserve"> The test measures how much glucose is attached to hemoglobin, the protein in red blood cells that carries oxygen.</t>
    </r>
  </si>
  <si>
    <r>
      <t>Why 3 months:</t>
    </r>
    <r>
      <rPr>
        <sz val="8"/>
        <color theme="1"/>
        <rFont val="Arial"/>
        <family val="2"/>
      </rPr>
      <t xml:space="preserve"> Because red blood cells live for approximately 120 days (3 months), the test acts as a "memory" of blood sugar levels over that period.</t>
    </r>
  </si>
  <si>
    <t>HbA1c Level Ranges (General Guidelines):</t>
  </si>
  <si>
    <r>
      <t>Normal:</t>
    </r>
    <r>
      <rPr>
        <sz val="8"/>
        <color theme="1"/>
        <rFont val="Arial"/>
        <family val="2"/>
      </rPr>
      <t xml:space="preserve"> Below 5.7%.</t>
    </r>
  </si>
  <si>
    <r>
      <t>Prediabetes:</t>
    </r>
    <r>
      <rPr>
        <sz val="8"/>
        <color theme="1"/>
        <rFont val="Arial"/>
        <family val="2"/>
      </rPr>
      <t xml:space="preserve"> 5.7% to 6.4%.</t>
    </r>
  </si>
  <si>
    <r>
      <t>Diabetes:</t>
    </r>
    <r>
      <rPr>
        <sz val="8"/>
        <color theme="1"/>
        <rFont val="Arial"/>
        <family val="2"/>
      </rPr>
      <t xml:space="preserve"> 6.5% or higher.</t>
    </r>
  </si>
  <si>
    <t>Why HbA1c is Important:</t>
  </si>
  <si>
    <r>
      <t>Diagnosis:</t>
    </r>
    <r>
      <rPr>
        <sz val="8"/>
        <color theme="1"/>
        <rFont val="Arial"/>
        <family val="2"/>
      </rPr>
      <t xml:space="preserve"> It is a reliable tool for identifying diabetes and prediabetes.</t>
    </r>
  </si>
  <si>
    <r>
      <t>Management:</t>
    </r>
    <r>
      <rPr>
        <sz val="8"/>
        <color theme="1"/>
        <rFont val="Arial"/>
        <family val="2"/>
      </rPr>
      <t xml:space="preserve"> It helps individuals with diabetes monitor their treatment, diet, and lifestyle improvements.</t>
    </r>
  </si>
  <si>
    <r>
      <t>Risk Assessment:</t>
    </r>
    <r>
      <rPr>
        <sz val="8"/>
        <color theme="1"/>
        <rFont val="Arial"/>
        <family val="2"/>
      </rPr>
      <t xml:space="preserve"> High HbA1c levels are associated with a greater risk of diabetic complications, including kidney disease, heart disease, and nerve damage</t>
    </r>
  </si>
  <si>
    <t xml:space="preserve">ABOUT </t>
  </si>
  <si>
    <t>Key Facts About HDL:</t>
  </si>
  <si>
    <r>
      <t>Function:</t>
    </r>
    <r>
      <rPr>
        <sz val="8"/>
        <color theme="1"/>
        <rFont val="Arial"/>
        <family val="2"/>
      </rPr>
      <t xml:space="preserve"> It functions like a transportation system, carrying cholesterol away from cells, tissues, and arteries.</t>
    </r>
  </si>
  <si>
    <r>
      <t>Why It's "Good":</t>
    </r>
    <r>
      <rPr>
        <sz val="8"/>
        <color theme="1"/>
        <rFont val="Arial"/>
        <family val="2"/>
      </rPr>
      <t xml:space="preserve"> It helps prevent artery blockages (atherosclerosis) by removing low-density lipoprotein (LDL or "bad" cholesterol).</t>
    </r>
  </si>
  <si>
    <t>Healthy Levels:</t>
  </si>
  <si>
    <r>
      <t>Men:</t>
    </r>
    <r>
      <rPr>
        <sz val="8"/>
        <color theme="1"/>
        <rFont val="Arial"/>
        <family val="2"/>
      </rPr>
      <t xml:space="preserve"> 40 mg/dL or higher is generally recommended.</t>
    </r>
  </si>
  <si>
    <r>
      <t>Women:</t>
    </r>
    <r>
      <rPr>
        <sz val="8"/>
        <color theme="1"/>
        <rFont val="Arial"/>
        <family val="2"/>
      </rPr>
      <t xml:space="preserve"> 50 mg/dL or higher is recommended.</t>
    </r>
  </si>
  <si>
    <t>Levels below 40 mg/dL (for men) or 50 mg/dL (for women) are considered low.</t>
  </si>
  <si>
    <r>
      <t>How to Boost HDL:</t>
    </r>
    <r>
      <rPr>
        <sz val="8"/>
        <color theme="1"/>
        <rFont val="Arial"/>
        <family val="2"/>
      </rPr>
      <t xml:space="preserve"> Regular exercise, healthy eating (e.g., olive oil), smoking cessation, and maintaining a healthy weight can increase HDL.</t>
    </r>
  </si>
  <si>
    <r>
      <t>Difference from daily tests:</t>
    </r>
    <r>
      <rPr>
        <sz val="8"/>
        <color theme="1"/>
        <rFont val="Arial"/>
        <family val="2"/>
      </rPr>
      <t xml:space="preserve"> While daily finger-prick tests offer a snapshot of blood sugar at a specific moment, HbA1c indicates long-term trends, often called a "blood sugar memory". </t>
    </r>
  </si>
  <si>
    <r>
      <t>Target for Diabetics:</t>
    </r>
    <r>
      <rPr>
        <sz val="8"/>
        <color theme="1"/>
        <rFont val="Arial"/>
        <family val="2"/>
      </rPr>
      <t xml:space="preserve"> Usually, maintaining a level below 7% is recommended. </t>
    </r>
  </si>
  <si>
    <t xml:space="preserve">HbA1c, or hemoglobin A1c, is a blood test measuring average blood sugar (glucose) levels over the past 2–3 months. It detects the percentage of hemoglobin coated with sugar (glycated), providing a long-term picture of glucose control used to diagnose prediabetes and diabetes, and to manage diabetes treatment. </t>
  </si>
  <si>
    <t xml:space="preserve">HDL (High-Density Lipoprotein) is known as "good" cholesterol, acting as a scavenger that carries excess cholesterol from your bloodstream back to the liver to be removed, reducing plaque buildup. Higher levels are associated with a lower risk of heart disease and stroke, typically aiming for 60 mg/dL or higher. </t>
  </si>
  <si>
    <r>
      <t>Difference from LDL:</t>
    </r>
    <r>
      <rPr>
        <sz val="8"/>
        <color theme="1"/>
        <rFont val="Arial"/>
        <family val="2"/>
      </rPr>
      <t xml:space="preserve"> While LDL carries cholesterol </t>
    </r>
    <r>
      <rPr>
        <i/>
        <sz val="8"/>
        <color theme="1"/>
        <rFont val="Arial"/>
        <family val="2"/>
      </rPr>
      <t>to</t>
    </r>
    <r>
      <rPr>
        <sz val="8"/>
        <color theme="1"/>
        <rFont val="Arial"/>
        <family val="2"/>
      </rPr>
      <t xml:space="preserve"> tissues, HDL carries it </t>
    </r>
    <r>
      <rPr>
        <i/>
        <sz val="8"/>
        <color theme="1"/>
        <rFont val="Arial"/>
        <family val="2"/>
      </rPr>
      <t>away</t>
    </r>
    <r>
      <rPr>
        <sz val="8"/>
        <color theme="1"/>
        <rFont val="Arial"/>
        <family val="2"/>
      </rPr>
      <t xml:space="preserve">. </t>
    </r>
  </si>
  <si>
    <t>Key Facts About LDL Cholesterol</t>
  </si>
  <si>
    <r>
      <t>"Bad" Cholesterol:</t>
    </r>
    <r>
      <rPr>
        <sz val="8"/>
        <color theme="1"/>
        <rFont val="Arial"/>
        <family val="2"/>
      </rPr>
      <t xml:space="preserve"> LDL carries cholesterol to cells, but when too much is present, it deposits on artery walls.</t>
    </r>
  </si>
  <si>
    <r>
      <t>Plaque Buildup:</t>
    </r>
    <r>
      <rPr>
        <sz val="8"/>
        <color theme="1"/>
        <rFont val="Arial"/>
        <family val="2"/>
      </rPr>
      <t xml:space="preserve"> This accumulation, called plaque, hardens and narrows arteries, restricting blood flow and potentially causing heart attacks or strokes.</t>
    </r>
  </si>
  <si>
    <r>
      <t>Causes of High LDL:</t>
    </r>
    <r>
      <rPr>
        <sz val="8"/>
        <color theme="1"/>
        <rFont val="Arial"/>
        <family val="2"/>
      </rPr>
      <t xml:space="preserve"> High LDL can result from unhealthy diets (high saturated/trans fats), lack of exercise, smoking, or genetics.</t>
    </r>
  </si>
  <si>
    <t>LDL vs. HDL</t>
  </si>
  <si>
    <r>
      <t>LDL (Low-Density Lipoprotein):</t>
    </r>
    <r>
      <rPr>
        <sz val="8"/>
        <color theme="1"/>
        <rFont val="Arial"/>
        <family val="2"/>
      </rPr>
      <t xml:space="preserve"> Deposits cholesterol in artery walls, creating plaque.</t>
    </r>
  </si>
  <si>
    <t>LDL is essential for the body in moderation for cell repair, but high levels are a major risk factor for cardiovascular disease.</t>
  </si>
  <si>
    <t>Low-density lipoprotein (LDL) cholesterol is a, type of protein-fat particle that transports cholesterol through the blood. Often called "bad" cholesterol, high levels of LDL lead to plaque buildup in arteries (atherosclerosis), increasing the risk of heart disease, heart attack, and stroke. Ideal levels are generally below \(100\text{ mg/dL}\).</t>
  </si>
  <si>
    <r>
      <t>HDL (High-Density Lipoprotein):</t>
    </r>
    <r>
      <rPr>
        <sz val="8"/>
        <color theme="1"/>
        <rFont val="Arial"/>
        <family val="2"/>
      </rPr>
      <t xml:space="preserve"> Known as "good" cholesterol, it carries cholesterol away from arteries to the liver to be removed. </t>
    </r>
  </si>
  <si>
    <r>
      <t>Management:</t>
    </r>
    <r>
      <rPr>
        <sz val="8"/>
        <color theme="1"/>
        <rFont val="Arial"/>
        <family val="2"/>
      </rPr>
      <t xml:space="preserve"> Lifestyle changes like eating a heart-healthy diet, regular exercise, and sometimes medications (like statins) are used to manage high LDL. </t>
    </r>
  </si>
  <si>
    <r>
      <t>Optimal Levels:</t>
    </r>
    <r>
      <rPr>
        <sz val="8"/>
        <color theme="1"/>
        <rFont val="Arial"/>
        <family val="2"/>
      </rPr>
      <t xml:space="preserve"> Generally, an LDL level of less than 100 mg/dL is considered optimal, while 160-189 mg/dL is high and 190 mg/dL or higher is very high.</t>
    </r>
  </si>
  <si>
    <r>
      <t>Estrogen:</t>
    </r>
    <r>
      <rPr>
        <sz val="8"/>
        <color theme="1"/>
        <rFont val="Arial"/>
        <family val="2"/>
      </rPr>
      <t xml:space="preserve"> Women often have naturally higher HDL before menopause.</t>
    </r>
  </si>
  <si>
    <r>
      <t>Post-Menopause:</t>
    </r>
    <r>
      <rPr>
        <sz val="8"/>
        <color theme="1"/>
        <rFont val="Arial"/>
        <family val="2"/>
      </rPr>
      <t xml:space="preserve"> LDL levels often rise sharply after age 50 as estrogen drops</t>
    </r>
  </si>
  <si>
    <t xml:space="preserve">HDL helps remove bad cholesterol from the blood, and women typically require higher levels for protection. </t>
  </si>
  <si>
    <r>
      <t>Males:</t>
    </r>
    <r>
      <rPr>
        <sz val="8"/>
        <color theme="1"/>
        <rFont val="Arial"/>
        <family val="2"/>
      </rPr>
      <t>40 mg/dL or higher.</t>
    </r>
  </si>
  <si>
    <r>
      <t>Females:</t>
    </r>
    <r>
      <rPr>
        <sz val="8"/>
        <color theme="1"/>
        <rFont val="Arial"/>
        <family val="2"/>
      </rPr>
      <t xml:space="preserve"> 50 mg/dL or higher.</t>
    </r>
  </si>
  <si>
    <r>
      <t xml:space="preserve">In a blood test, </t>
    </r>
    <r>
      <rPr>
        <sz val="8"/>
        <color theme="1"/>
        <rFont val="Arial"/>
        <family val="2"/>
      </rPr>
      <t>TG</t>
    </r>
    <r>
      <rPr>
        <sz val="8"/>
        <color theme="1"/>
        <rFont val="Arial"/>
        <family val="2"/>
      </rPr>
      <t xml:space="preserve"> stands for </t>
    </r>
    <r>
      <rPr>
        <sz val="8"/>
        <color theme="1"/>
        <rFont val="Arial"/>
        <family val="2"/>
      </rPr>
      <t>Triglycerides</t>
    </r>
    <r>
      <rPr>
        <sz val="8"/>
        <color theme="1"/>
        <rFont val="Arial"/>
        <family val="2"/>
      </rPr>
      <t>, the most common type of fat in your body</t>
    </r>
  </si>
  <si>
    <t>TG Target Levels by Age</t>
  </si>
  <si>
    <t>Targets change as the body matures and metabolizes fats differently. [1, 2]</t>
  </si>
  <si>
    <t>Age Group [1, 2, 3, 4, 5]</t>
  </si>
  <si>
    <t>Normal (Target)</t>
  </si>
  <si>
    <t>Borderline High</t>
  </si>
  <si>
    <t>Children (&lt;10 years)</t>
  </si>
  <si>
    <t>\(&lt; 75\text{ mg/dL}\)</t>
  </si>
  <si>
    <t>\(75\text{--}99\text{ mg/dL}\)</t>
  </si>
  <si>
    <t>\(\geq 100\text{ mg/dL}\)</t>
  </si>
  <si>
    <t>Teens (10–19 years)</t>
  </si>
  <si>
    <t>\(&lt; 90\text{ mg/dL}\)</t>
  </si>
  <si>
    <t>\(90\text{--}129\text{ mg/dL}\)</t>
  </si>
  <si>
    <t>\(\geq 130\text{ mg/dL}\)</t>
  </si>
  <si>
    <t>Adults (20+ years)</t>
  </si>
  <si>
    <t>\(&lt; 150\text{ mg/dL}\)</t>
  </si>
  <si>
    <t>\(150\text{--}199\text{ mg/dL}\)</t>
  </si>
  <si>
    <t>\(200\text{--}499\text{ mg/dL}\)</t>
  </si>
  <si>
    <t>Gender-Wise Target Nuances</t>
  </si>
  <si>
    <r>
      <t>Males:</t>
    </r>
    <r>
      <rPr>
        <sz val="8"/>
        <color theme="1"/>
        <rFont val="Arial"/>
        <family val="2"/>
      </rPr>
      <t xml:space="preserve"> Some experts suggest a stricter "ideal" target of </t>
    </r>
    <r>
      <rPr>
        <sz val="8"/>
        <color theme="1"/>
        <rFont val="Arial"/>
        <family val="2"/>
      </rPr>
      <t>\(&lt; 100\text{ mg/dL}\)</t>
    </r>
    <r>
      <rPr>
        <sz val="8"/>
        <color theme="1"/>
        <rFont val="Arial"/>
        <family val="2"/>
      </rPr>
      <t xml:space="preserve"> to maximize heart protection, especially for those with existing risk factors.</t>
    </r>
  </si>
  <si>
    <t>Females:</t>
  </si>
  <si>
    <r>
      <t>Pre-Menopause:</t>
    </r>
    <r>
      <rPr>
        <sz val="8"/>
        <color theme="1"/>
        <rFont val="Arial"/>
        <family val="2"/>
      </rPr>
      <t xml:space="preserve"> Naturally lower TGs due to estrogen; targets remain \(&lt; 150\text{ mg/dL}\).</t>
    </r>
  </si>
  <si>
    <r>
      <t>Post-Menopause:</t>
    </r>
    <r>
      <rPr>
        <sz val="8"/>
        <color theme="1"/>
        <rFont val="Arial"/>
        <family val="2"/>
      </rPr>
      <t xml:space="preserve"> Risk increases as TGs rise naturally. Maintaining levels </t>
    </r>
    <r>
      <rPr>
        <sz val="8"/>
        <color theme="1"/>
        <rFont val="Arial"/>
        <family val="2"/>
      </rPr>
      <t>\(&lt; 150\text{ mg/dL}\)</t>
    </r>
    <r>
      <rPr>
        <sz val="8"/>
        <color theme="1"/>
        <rFont val="Arial"/>
        <family val="2"/>
      </rPr>
      <t xml:space="preserve"> is critical because high TGs are a stronger predictor of heart disease in women than in men.</t>
    </r>
  </si>
  <si>
    <r>
      <t>Pregnancy:</t>
    </r>
    <r>
      <rPr>
        <sz val="8"/>
        <color theme="1"/>
        <rFont val="Arial"/>
        <family val="2"/>
      </rPr>
      <t xml:space="preserve"> It is normal for TGs to rise significantly during pregnancy (often doubling or tripling), but they should return to target levels postpartum. [1, 2, 3, 4, 5]</t>
    </r>
  </si>
  <si>
    <t>Clinical Implications of High TG</t>
  </si>
  <si>
    <t>\(150\text{--}499\text{ mg/dL}\): Primarily increases the risk of heart disease and stroke by contributing to Atherosclerosis.</t>
  </si>
  <si>
    <r>
      <t>\(\geq 500\text{ mg/dL}\):</t>
    </r>
    <r>
      <rPr>
        <sz val="8"/>
        <color theme="1"/>
        <rFont val="Arial"/>
        <family val="2"/>
      </rPr>
      <t xml:space="preserve"> Classified as "Very High," this level requires immediate medical attention to prevent </t>
    </r>
    <r>
      <rPr>
        <sz val="8"/>
        <color theme="1"/>
        <rFont val="Arial"/>
        <family val="2"/>
      </rPr>
      <t>acute pancreatitis</t>
    </r>
    <r>
      <rPr>
        <sz val="8"/>
        <color theme="1"/>
        <rFont val="Arial"/>
        <family val="2"/>
      </rPr>
      <t>. [1, 2, 3, 4, 5]</t>
    </r>
  </si>
  <si>
    <r>
      <t xml:space="preserve">The </t>
    </r>
    <r>
      <rPr>
        <sz val="8"/>
        <color theme="1"/>
        <rFont val="Arial"/>
        <family val="2"/>
      </rPr>
      <t>Triglyceride-to-HDL (TG/HDL) ratio</t>
    </r>
    <r>
      <rPr>
        <sz val="11"/>
        <color theme="1"/>
        <rFont val="Calibri"/>
        <family val="2"/>
        <scheme val="minor"/>
      </rPr>
      <t xml:space="preserve"> is a calculation used to assess your risk for </t>
    </r>
    <r>
      <rPr>
        <sz val="8"/>
        <color theme="1"/>
        <rFont val="Arial"/>
        <family val="2"/>
      </rPr>
      <t>insulin resistance</t>
    </r>
    <r>
      <rPr>
        <sz val="11"/>
        <color theme="1"/>
        <rFont val="Calibri"/>
        <family val="2"/>
        <scheme val="minor"/>
      </rPr>
      <t>, metabolic syndrome, and heart disease. It is often considered more predictive of cardiovascular risk than looking at LDL cholesterol levels alone because it reflects the balance between fat storage (TGs) and fat clearance (HDL). [1, 2, 3, 4, 5]</t>
    </r>
  </si>
  <si>
    <t>Ideal Target Ranges (US Units: mg/dL) [1]</t>
  </si>
  <si>
    <t>While there is no single universally accepted "normal," health experts generally categorize risk based on the following ratios: [1]</t>
  </si>
  <si>
    <t>Gender-Specific Cut-off Values</t>
  </si>
  <si>
    <t>Research shows that men and women have different thresholds for where risk begins to increase significantly. [1]</t>
  </si>
  <si>
    <t>Risk Marker [1]</t>
  </si>
  <si>
    <t>Males (Target)</t>
  </si>
  <si>
    <t>Females (Target)</t>
  </si>
  <si>
    <t>Metabolic Syndrome Risk</t>
  </si>
  <si>
    <t>Insulin Resistance Risk</t>
  </si>
  <si>
    <t>Clinical Significance</t>
  </si>
  <si>
    <t>Factors Affecting Your Ratio</t>
  </si>
  <si>
    <t>Ideal: \(2.0\) or less (some experts suggest \(1.0\) or less is optimal for peak heart health).</t>
  </si>
  <si>
    <t>Good: \(2.1\) to \(4.0\).</t>
  </si>
  <si>
    <t>High Risk: \(4.0\) or higher (levels above \(6.0\) are considered extremely high risk). [1, 2, 3]</t>
  </si>
  <si>
    <t>Below \(2.6\) to \(3.4\)</t>
  </si>
  <si>
    <t>Below \(1.7\) to \(2.8\)</t>
  </si>
  <si>
    <t>Below \(2.8\) to \(3.5\)</t>
  </si>
  <si>
    <t>Below \(2.0\) to \(2.5\)</t>
  </si>
  <si>
    <t>Note: Women typically require lower ratios because they naturally have higher HDL levels before menopause. [1, 2]</t>
  </si>
  <si>
    <t>Insulin Resistance: A high TG/HDL ratio is one of the most reliable markers for insulin resistance, which often precedes type 2 diabetes by many years.</t>
  </si>
  <si>
    <t>Small, Dense LDL: A high ratio strongly suggests you have more small, dense LDL particles, which are more likely to cause arterial plaque and heart attacks than larger, "fluffy" LDL particles.</t>
  </si>
  <si>
    <t>Predictive Power: Each unit increase in this ratio can significantly raise the odds of developing metabolic syndrome—up to \(3\) times higher in women per unit increase. [1, 2, 3, 4, 5]</t>
  </si>
  <si>
    <t>Ethnicity: Standard cut-offs are less reliable for African Americans, who often have naturally higher HDL and lower TG levels regardless of their metabolic health.</t>
  </si>
  <si>
    <t>Menopause: Women's ratios often rise sharply after menopause as estrogen drops and TGs increase.</t>
  </si>
  <si>
    <t>Diet: High intake of refined carbohydrates, sugars, and alcohol can spike TGs and worsen this ratio. [1, 2, 3, 4, 5]</t>
  </si>
  <si>
    <r>
      <t xml:space="preserve">For the Indian population, while general clinical thresholds (e.g., </t>
    </r>
    <r>
      <rPr>
        <sz val="8"/>
        <color theme="1"/>
        <rFont val="Arial"/>
        <family val="2"/>
      </rPr>
      <t>\(&lt;150 \text{ mg/dL}\)</t>
    </r>
    <r>
      <rPr>
        <sz val="8"/>
        <color theme="1"/>
        <rFont val="Arial"/>
        <family val="2"/>
      </rPr>
      <t xml:space="preserve"> for adults) remain standard, research indicates that Indians often have higher average triglyceride levels and lower HDL levels at younger ages compared to global averages. [1, 2]</t>
    </r>
  </si>
  <si>
    <t>Triglyceride (TG) Prevalence &amp; Data in India</t>
  </si>
  <si>
    <t>Hypertriglyceridemia (high TG) is highly prevalent across all age groups in India, often linked to high-carbohydrate diets and sedentary lifestyles. [1, 2]</t>
  </si>
  <si>
    <t>Adults (20+ years):</t>
  </si>
  <si>
    <r>
      <t>Prevalence:</t>
    </r>
    <r>
      <rPr>
        <sz val="8"/>
        <color theme="1"/>
        <rFont val="Arial"/>
        <family val="2"/>
      </rPr>
      <t xml:space="preserve"> Studies show high TG (\(\geq 150 \text{ mg/dL}\)) affects approximately </t>
    </r>
    <r>
      <rPr>
        <sz val="8"/>
        <color theme="1"/>
        <rFont val="Arial"/>
        <family val="2"/>
      </rPr>
      <t>34% of men</t>
    </r>
    <r>
      <rPr>
        <sz val="8"/>
        <color theme="1"/>
        <rFont val="Arial"/>
        <family val="2"/>
      </rPr>
      <t xml:space="preserve"> and </t>
    </r>
    <r>
      <rPr>
        <sz val="8"/>
        <color theme="1"/>
        <rFont val="Arial"/>
        <family val="2"/>
      </rPr>
      <t>26.8% of women</t>
    </r>
    <r>
      <rPr>
        <sz val="8"/>
        <color theme="1"/>
        <rFont val="Arial"/>
        <family val="2"/>
      </rPr>
      <t xml:space="preserve"> in hospital-based data. Other community studies suggest even higher rates, reaching </t>
    </r>
    <r>
      <rPr>
        <sz val="8"/>
        <color theme="1"/>
        <rFont val="Arial"/>
        <family val="2"/>
      </rPr>
      <t>42.1% for men</t>
    </r>
    <r>
      <rPr>
        <sz val="8"/>
        <color theme="1"/>
        <rFont val="Arial"/>
        <family val="2"/>
      </rPr>
      <t xml:space="preserve"> and </t>
    </r>
    <r>
      <rPr>
        <sz val="8"/>
        <color theme="1"/>
        <rFont val="Arial"/>
        <family val="2"/>
      </rPr>
      <t>32.9% for women</t>
    </r>
    <r>
      <rPr>
        <sz val="8"/>
        <color theme="1"/>
        <rFont val="Arial"/>
        <family val="2"/>
      </rPr>
      <t>.</t>
    </r>
  </si>
  <si>
    <r>
      <t>Age Trend:</t>
    </r>
    <r>
      <rPr>
        <sz val="8"/>
        <color theme="1"/>
        <rFont val="Arial"/>
        <family val="2"/>
      </rPr>
      <t xml:space="preserve"> Levels typically rise with age, peaking in the </t>
    </r>
    <r>
      <rPr>
        <sz val="8"/>
        <color theme="1"/>
        <rFont val="Arial"/>
        <family val="2"/>
      </rPr>
      <t>40s</t>
    </r>
    <r>
      <rPr>
        <sz val="8"/>
        <color theme="1"/>
        <rFont val="Arial"/>
        <family val="2"/>
      </rPr>
      <t xml:space="preserve"> for men. For women, a sharp increase is often observed </t>
    </r>
    <r>
      <rPr>
        <sz val="8"/>
        <color theme="1"/>
        <rFont val="Arial"/>
        <family val="2"/>
      </rPr>
      <t>post-menopause</t>
    </r>
    <r>
      <rPr>
        <sz val="8"/>
        <color theme="1"/>
        <rFont val="Arial"/>
        <family val="2"/>
      </rPr>
      <t xml:space="preserve"> (around age 50+).</t>
    </r>
  </si>
  <si>
    <r>
      <t>High-Risk Group:</t>
    </r>
    <r>
      <rPr>
        <sz val="8"/>
        <color theme="1"/>
        <rFont val="Arial"/>
        <family val="2"/>
      </rPr>
      <t xml:space="preserve"> The highest prevalence of "High-Risk Modifiable Group" (high TG + low HDL) is often seen in the </t>
    </r>
    <r>
      <rPr>
        <sz val="8"/>
        <color theme="1"/>
        <rFont val="Arial"/>
        <family val="2"/>
      </rPr>
      <t>30–39 age group</t>
    </r>
    <r>
      <rPr>
        <sz val="8"/>
        <color theme="1"/>
        <rFont val="Arial"/>
        <family val="2"/>
      </rPr>
      <t>.</t>
    </r>
  </si>
  <si>
    <t>Children &amp; Adolescents:</t>
  </si>
  <si>
    <r>
      <t>5–9 Years:</t>
    </r>
    <r>
      <rPr>
        <sz val="8"/>
        <color theme="1"/>
        <rFont val="Arial"/>
        <family val="2"/>
      </rPr>
      <t xml:space="preserve"> Alarmingly, about </t>
    </r>
    <r>
      <rPr>
        <sz val="8"/>
        <color theme="1"/>
        <rFont val="Arial"/>
        <family val="2"/>
      </rPr>
      <t>one-third</t>
    </r>
    <r>
      <rPr>
        <sz val="8"/>
        <color theme="1"/>
        <rFont val="Arial"/>
        <family val="2"/>
      </rPr>
      <t xml:space="preserve"> of Indian children in this bracket have high TG. In states like West Bengal, this can be as high as </t>
    </r>
    <r>
      <rPr>
        <sz val="8"/>
        <color theme="1"/>
        <rFont val="Arial"/>
        <family val="2"/>
      </rPr>
      <t>67%</t>
    </r>
    <r>
      <rPr>
        <sz val="8"/>
        <color theme="1"/>
        <rFont val="Arial"/>
        <family val="2"/>
      </rPr>
      <t>.</t>
    </r>
  </si>
  <si>
    <r>
      <t>10–19 Years:</t>
    </r>
    <r>
      <rPr>
        <sz val="8"/>
        <color theme="1"/>
        <rFont val="Arial"/>
        <family val="2"/>
      </rPr>
      <t xml:space="preserve"> Approximately </t>
    </r>
    <r>
      <rPr>
        <sz val="8"/>
        <color theme="1"/>
        <rFont val="Arial"/>
        <family val="2"/>
      </rPr>
      <t>16%</t>
    </r>
    <r>
      <rPr>
        <sz val="8"/>
        <color theme="1"/>
        <rFont val="Arial"/>
        <family val="2"/>
      </rPr>
      <t xml:space="preserve"> of Indian adolescents have high TG. [1, 2, 3, 4, 5, 6, 7, 8, 9]</t>
    </r>
  </si>
  <si>
    <t>TG/HDL Ratio in India</t>
  </si>
  <si>
    <t>The TG/HDL ratio is a critical marker for the "South Asian phenotype" characterized by insulin resistance. [1]</t>
  </si>
  <si>
    <r>
      <t>Median Ratio:</t>
    </r>
    <r>
      <rPr>
        <sz val="8"/>
        <color theme="1"/>
        <rFont val="Arial"/>
        <family val="2"/>
      </rPr>
      <t xml:space="preserve"> In healthy young to middle-aged Indian men, the median ratio is roughly </t>
    </r>
    <r>
      <rPr>
        <sz val="8"/>
        <color theme="1"/>
        <rFont val="Arial"/>
        <family val="2"/>
      </rPr>
      <t>4.0</t>
    </r>
    <r>
      <rPr>
        <sz val="8"/>
        <color theme="1"/>
        <rFont val="Arial"/>
        <family val="2"/>
      </rPr>
      <t xml:space="preserve">, with over </t>
    </r>
    <r>
      <rPr>
        <sz val="8"/>
        <color theme="1"/>
        <rFont val="Arial"/>
        <family val="2"/>
      </rPr>
      <t>51%</t>
    </r>
    <r>
      <rPr>
        <sz val="8"/>
        <color theme="1"/>
        <rFont val="Arial"/>
        <family val="2"/>
      </rPr>
      <t xml:space="preserve"> recording an "abnormal" ratio of \(\ge 4.0\).</t>
    </r>
  </si>
  <si>
    <r>
      <t>Ideal Cut-offs:</t>
    </r>
    <r>
      <rPr>
        <sz val="8"/>
        <color theme="1"/>
        <rFont val="Arial"/>
        <family val="2"/>
      </rPr>
      <t xml:space="preserve"> To detect insulin resistance specifically in South Asians, researchers suggest stricter targets than Western standards: </t>
    </r>
    <r>
      <rPr>
        <sz val="8"/>
        <color theme="1"/>
        <rFont val="Arial"/>
        <family val="2"/>
      </rPr>
      <t>2.8 for men</t>
    </r>
    <r>
      <rPr>
        <sz val="8"/>
        <color theme="1"/>
        <rFont val="Arial"/>
        <family val="2"/>
      </rPr>
      <t xml:space="preserve"> and </t>
    </r>
    <r>
      <rPr>
        <sz val="8"/>
        <color theme="1"/>
        <rFont val="Arial"/>
        <family val="2"/>
      </rPr>
      <t>2.5 for women</t>
    </r>
    <r>
      <rPr>
        <sz val="8"/>
        <color theme="1"/>
        <rFont val="Arial"/>
        <family val="2"/>
      </rPr>
      <t>. [1, 2]</t>
    </r>
  </si>
  <si>
    <t>Summary of Indian Lipid Study Findings</t>
  </si>
  <si>
    <t>Local reference ranges sometimes exceed global standards due to urbanization and dietary shifts. [1, 2]</t>
  </si>
  <si>
    <t>Parameter [1, 2, 3, 4]</t>
  </si>
  <si>
    <t>Indian Male Mean (approx.)</t>
  </si>
  <si>
    <t>Indian Female Mean (approx.)</t>
  </si>
  <si>
    <t>Reference Range (95th percentile)</t>
  </si>
  <si>
    <t>Triglycerides</t>
  </si>
  <si>
    <t>\(137 \text{--}140 \text{ mg/dL}\)</t>
  </si>
  <si>
    <t>\(144 \text{--}145 \text{ mg/dL}\)</t>
  </si>
  <si>
    <t>\(34 \text{--}360 \text{ mg/dL}\)</t>
  </si>
  <si>
    <t>HDL (Good)</t>
  </si>
  <si>
    <t>\(44 \text{--}45 \text{ mg/dL}\)</t>
  </si>
  <si>
    <t>\(44 \text{--}47 \text{ mg/dL}\)</t>
  </si>
  <si>
    <t>\(20 \text{--}63 \text{ mg/dL}\)</t>
  </si>
  <si>
    <t>TG/HDL Ratio</t>
  </si>
  <si>
    <t>\(3.1 \text{--}4.0\)</t>
  </si>
  <si>
    <t>(Tends to be lower pre-menopause)</t>
  </si>
  <si>
    <t>\(0.6 \text{--}17.7\)</t>
  </si>
  <si>
    <t>A Fasting Insulin test measures the amount of insulin in your blood after an 8–12 hour fast. It is a vital early warning marker that can detect insulin resistance years before blood sugar (glucose) levels actually rise. [1, 2, 3, 4]</t>
  </si>
  <si>
    <t>Target Ranges for the Indian Population</t>
  </si>
  <si>
    <r>
      <t xml:space="preserve">While many labs in India use a broad "normal" range up to </t>
    </r>
    <r>
      <rPr>
        <sz val="8"/>
        <color theme="1"/>
        <rFont val="Arial"/>
        <family val="2"/>
      </rPr>
      <t>\(25\text{ \mu IU/mL}\)</t>
    </r>
    <r>
      <rPr>
        <sz val="8"/>
        <color theme="1"/>
        <rFont val="Arial"/>
        <family val="2"/>
      </rPr>
      <t>, health experts often suggest stricter targets for the South Asian population due to higher metabolic risk. [1, 2]</t>
    </r>
  </si>
  <si>
    <t>Fasting Insulin Range (\(\text{\mu \ IU/mL}\))</t>
  </si>
  <si>
    <t>Implications</t>
  </si>
  <si>
    <t>Optimal/Ideal</t>
  </si>
  <si>
    <t>\(2\) to \(6\)</t>
  </si>
  <si>
    <t>Peak metabolic health and insulin sensitivity.</t>
  </si>
  <si>
    <t>Normal</t>
  </si>
  <si>
    <t>\(6\) to \(10\)</t>
  </si>
  <si>
    <t>Generally acceptable for most healthy adults.</t>
  </si>
  <si>
    <t>Borderline</t>
  </si>
  <si>
    <t>\(10\) to \(12\)</t>
  </si>
  <si>
    <t>Suggests early signs of metabolic dysfunction.</t>
  </si>
  <si>
    <t>High (Resistant)</t>
  </si>
  <si>
    <t>\(12\) to \(25\)</t>
  </si>
  <si>
    <t>Strong indicator of insulin resistance.</t>
  </si>
  <si>
    <t>Very High</t>
  </si>
  <si>
    <t>Above \(25\)</t>
  </si>
  <si>
    <t>Significant hyperinsulinemia; often seen in prediabetes or PCOS.</t>
  </si>
  <si>
    <t>Age and Gender Differences in India</t>
  </si>
  <si>
    <r>
      <t>Children &amp; Teens:</t>
    </r>
    <r>
      <rPr>
        <sz val="8"/>
        <color theme="1"/>
        <rFont val="Arial"/>
        <family val="2"/>
      </rPr>
      <t xml:space="preserve"> In India, roughly </t>
    </r>
    <r>
      <rPr>
        <sz val="8"/>
        <color theme="1"/>
        <rFont val="Arial"/>
        <family val="2"/>
      </rPr>
      <t>\(33\%\)</t>
    </r>
    <r>
      <rPr>
        <sz val="8"/>
        <color theme="1"/>
        <rFont val="Arial"/>
        <family val="2"/>
      </rPr>
      <t xml:space="preserve"> of children aged 5–9 and </t>
    </r>
    <r>
      <rPr>
        <sz val="8"/>
        <color theme="1"/>
        <rFont val="Arial"/>
        <family val="2"/>
      </rPr>
      <t>\(16\%\)</t>
    </r>
    <r>
      <rPr>
        <sz val="8"/>
        <color theme="1"/>
        <rFont val="Arial"/>
        <family val="2"/>
      </rPr>
      <t xml:space="preserve"> of adolescents (10–19) show signs of high fasting insulin. Levels naturally peak around age </t>
    </r>
    <r>
      <rPr>
        <sz val="8"/>
        <color theme="1"/>
        <rFont val="Arial"/>
        <family val="2"/>
      </rPr>
      <t>16</t>
    </r>
    <r>
      <rPr>
        <sz val="8"/>
        <color theme="1"/>
        <rFont val="Arial"/>
        <family val="2"/>
      </rPr>
      <t xml:space="preserve"> during puberty before slightly decreasing.</t>
    </r>
  </si>
  <si>
    <t>Gender Gap:</t>
  </si>
  <si>
    <r>
      <t>Males:</t>
    </r>
    <r>
      <rPr>
        <sz val="8"/>
        <color theme="1"/>
        <rFont val="Arial"/>
        <family val="2"/>
      </rPr>
      <t xml:space="preserve"> Men are biologically more prone to accumulating </t>
    </r>
    <r>
      <rPr>
        <sz val="8"/>
        <color theme="1"/>
        <rFont val="Arial"/>
        <family val="2"/>
      </rPr>
      <t>visceral (belly) fat</t>
    </r>
    <r>
      <rPr>
        <sz val="8"/>
        <color theme="1"/>
        <rFont val="Arial"/>
        <family val="2"/>
      </rPr>
      <t>, leading to earlier onset of insulin resistance, typically in their 30s.</t>
    </r>
  </si>
  <si>
    <r>
      <t>Females:</t>
    </r>
    <r>
      <rPr>
        <sz val="8"/>
        <color theme="1"/>
        <rFont val="Arial"/>
        <family val="2"/>
      </rPr>
      <t xml:space="preserve"> Pre-menopausal women often have higher insulin sensitivity due to estrogen. However, fasting insulin levels often rise sharply </t>
    </r>
    <r>
      <rPr>
        <sz val="8"/>
        <color theme="1"/>
        <rFont val="Arial"/>
        <family val="2"/>
      </rPr>
      <t>post-menopause</t>
    </r>
    <r>
      <rPr>
        <sz val="8"/>
        <color theme="1"/>
        <rFont val="Arial"/>
        <family val="2"/>
      </rPr>
      <t>, eventually matching or exceeding male risk.</t>
    </r>
  </si>
  <si>
    <r>
      <t>Aging:</t>
    </r>
    <r>
      <rPr>
        <sz val="8"/>
        <color theme="1"/>
        <rFont val="Arial"/>
        <family val="2"/>
      </rPr>
      <t xml:space="preserve"> In healthy individuals without metabolic disease, fasting insulin typically shows a </t>
    </r>
    <r>
      <rPr>
        <sz val="8"/>
        <color theme="1"/>
        <rFont val="Arial"/>
        <family val="2"/>
      </rPr>
      <t>decreasing trend</t>
    </r>
    <r>
      <rPr>
        <sz val="8"/>
        <color theme="1"/>
        <rFont val="Arial"/>
        <family val="2"/>
      </rPr>
      <t xml:space="preserve"> as one ages past adulthood. [1, 2, 3, 4, 5, 6]</t>
    </r>
  </si>
  <si>
    <t>The HOMA-IR Connection</t>
  </si>
  <si>
    <r>
      <t xml:space="preserve">Doctors rarely look at fasting insulin in isolation. They use it with fasting glucose to calculate the </t>
    </r>
    <r>
      <rPr>
        <sz val="8"/>
        <color theme="1"/>
        <rFont val="Arial"/>
        <family val="2"/>
      </rPr>
      <t>HOMA-IR</t>
    </r>
    <r>
      <rPr>
        <sz val="8"/>
        <color theme="1"/>
        <rFont val="Arial"/>
        <family val="2"/>
      </rPr>
      <t xml:space="preserve"> (Homeostatic Model Assessment of Insulin Resistance). [1, 2, 3]</t>
    </r>
  </si>
  <si>
    <r>
      <t>Formula:</t>
    </r>
    <r>
      <rPr>
        <sz val="8"/>
        <color theme="1"/>
        <rFont val="Arial"/>
        <family val="2"/>
      </rPr>
      <t xml:space="preserve"> \((\text{Fasting Insulin} \times \text{Fasting Glucose}) / 405\)</t>
    </r>
  </si>
  <si>
    <r>
      <t>Target:</t>
    </r>
    <r>
      <rPr>
        <sz val="8"/>
        <color theme="1"/>
        <rFont val="Arial"/>
        <family val="2"/>
      </rPr>
      <t xml:space="preserve"> A score </t>
    </r>
    <r>
      <rPr>
        <sz val="8"/>
        <color theme="1"/>
        <rFont val="Arial"/>
        <family val="2"/>
      </rPr>
      <t>below \(1.0\)</t>
    </r>
    <r>
      <rPr>
        <sz val="8"/>
        <color theme="1"/>
        <rFont val="Arial"/>
        <family val="2"/>
      </rPr>
      <t xml:space="preserve"> is ideal; </t>
    </r>
    <r>
      <rPr>
        <sz val="8"/>
        <color theme="1"/>
        <rFont val="Arial"/>
        <family val="2"/>
      </rPr>
      <t>above \(2.5\)</t>
    </r>
    <r>
      <rPr>
        <sz val="8"/>
        <color theme="1"/>
        <rFont val="Arial"/>
        <family val="2"/>
      </rPr>
      <t xml:space="preserve"> indicates significant insulin resistance in Indians. [1, 2, 3]</t>
    </r>
  </si>
  <si>
    <t>Why High Fasting Insulin Matters</t>
  </si>
  <si>
    <t>Even if your blood sugar is "normal," high fasting insulin (hyperinsulinemia) is linked to: [1, 2, 3]</t>
  </si>
  <si>
    <r>
      <t>Physical Signs:</t>
    </r>
    <r>
      <rPr>
        <sz val="8"/>
        <color theme="1"/>
        <rFont val="Arial"/>
        <family val="2"/>
      </rPr>
      <t xml:space="preserve"> Dark, velvety patches of skin (</t>
    </r>
    <r>
      <rPr>
        <sz val="8"/>
        <color theme="1"/>
        <rFont val="Arial"/>
        <family val="2"/>
      </rPr>
      <t>Acanthosis Nigricans</t>
    </r>
    <r>
      <rPr>
        <sz val="8"/>
        <color theme="1"/>
        <rFont val="Arial"/>
        <family val="2"/>
      </rPr>
      <t>) around the neck or armpits.</t>
    </r>
  </si>
  <si>
    <r>
      <t>Conditions:</t>
    </r>
    <r>
      <rPr>
        <sz val="8"/>
        <color theme="1"/>
        <rFont val="Arial"/>
        <family val="2"/>
      </rPr>
      <t xml:space="preserve"> Increased risk for </t>
    </r>
    <r>
      <rPr>
        <sz val="8"/>
        <color theme="1"/>
        <rFont val="Arial"/>
        <family val="2"/>
      </rPr>
      <t>Fatty Liver</t>
    </r>
    <r>
      <rPr>
        <sz val="8"/>
        <color theme="1"/>
        <rFont val="Arial"/>
        <family val="2"/>
      </rPr>
      <t xml:space="preserve">, </t>
    </r>
    <r>
      <rPr>
        <sz val="8"/>
        <color theme="1"/>
        <rFont val="Arial"/>
        <family val="2"/>
      </rPr>
      <t>PCOS</t>
    </r>
    <r>
      <rPr>
        <sz val="8"/>
        <color theme="1"/>
        <rFont val="Arial"/>
        <family val="2"/>
      </rPr>
      <t>, and cardiovascular disease</t>
    </r>
  </si>
  <si>
    <t>HOMA-IR (Homeostatic Model Assessment of Insulin Resistance) is a score that quantifies how hard your body is working to keep your blood sugar stable. For the Indian population, HOMA-IR is a critical marker because Indians tend to develop insulin resistance at a lower Body Mass Index (BMI) compared to Western populations.</t>
  </si>
  <si>
    <t>Indian Target Ranges &amp; Cut-offs</t>
  </si>
  <si>
    <r>
      <t xml:space="preserve">While a score of </t>
    </r>
    <r>
      <rPr>
        <sz val="8"/>
        <color theme="1"/>
        <rFont val="Arial"/>
        <family val="2"/>
      </rPr>
      <t>\(1.0\)</t>
    </r>
    <r>
      <rPr>
        <sz val="8"/>
        <color theme="1"/>
        <rFont val="Arial"/>
        <family val="2"/>
      </rPr>
      <t xml:space="preserve"> is considered "ideal" globally, research specifically on Indian adults and adolescents suggests different thresholds for identifying metabolic risk. [1, 2]</t>
    </r>
  </si>
  <si>
    <t>Level of Sensitivity [1, 2, 3, 4, 5]</t>
  </si>
  <si>
    <t>HOMA-IR Score</t>
  </si>
  <si>
    <t>Metabolic Status</t>
  </si>
  <si>
    <t>Optimal</t>
  </si>
  <si>
    <t>\(&lt;1.0\)</t>
  </si>
  <si>
    <t>High insulin sensitivity; metabolically healthy.</t>
  </si>
  <si>
    <t>\(1.0 \text{--} 1.9\)</t>
  </si>
  <si>
    <t>Generally safe, though some early risk may exist.</t>
  </si>
  <si>
    <t>Early Resistance</t>
  </si>
  <si>
    <t>\(2.0 \text{--} 2.4\)</t>
  </si>
  <si>
    <t>Increasing risk of Metabolic Syndrome.</t>
  </si>
  <si>
    <t>Insulin Resistant</t>
  </si>
  <si>
    <t>\(\ge 2.5\)</t>
  </si>
  <si>
    <r>
      <t>Primary Indian Cut-off</t>
    </r>
    <r>
      <rPr>
        <sz val="7"/>
        <color theme="1"/>
        <rFont val="Arial"/>
        <family val="2"/>
      </rPr>
      <t>: Indicates significant risk for diabetes and heart disease.</t>
    </r>
  </si>
  <si>
    <t>Severe Resistance</t>
  </si>
  <si>
    <t>\(&gt;3.0\)</t>
  </si>
  <si>
    <t>Often associated with Type 2 Diabetes or PCOS.</t>
  </si>
  <si>
    <t>Gender &amp; Age-Specific Data for Indians</t>
  </si>
  <si>
    <t>The prevalence and progression of insulin resistance in India show distinct patterns based on sex and life stage.</t>
  </si>
  <si>
    <t>Adolescents (10–19 years):</t>
  </si>
  <si>
    <r>
      <t>The 2.5 Threshold:</t>
    </r>
    <r>
      <rPr>
        <sz val="8"/>
        <color theme="1"/>
        <rFont val="Arial"/>
        <family val="2"/>
      </rPr>
      <t xml:space="preserve"> A HOMA-IR of </t>
    </r>
    <r>
      <rPr>
        <sz val="8"/>
        <color theme="1"/>
        <rFont val="Arial"/>
        <family val="2"/>
      </rPr>
      <t>\(&gt;2.5\)</t>
    </r>
    <r>
      <rPr>
        <sz val="8"/>
        <color theme="1"/>
        <rFont val="Arial"/>
        <family val="2"/>
      </rPr>
      <t xml:space="preserve"> is the recommended cut-off for identifying metabolic syndrome in Indian teens.</t>
    </r>
  </si>
  <si>
    <r>
      <t>Puberty Peak:</t>
    </r>
    <r>
      <rPr>
        <sz val="8"/>
        <color theme="1"/>
        <rFont val="Arial"/>
        <family val="2"/>
      </rPr>
      <t xml:space="preserve"> Resistance often rises during puberty, peaking around age </t>
    </r>
    <r>
      <rPr>
        <sz val="8"/>
        <color theme="1"/>
        <rFont val="Arial"/>
        <family val="2"/>
      </rPr>
      <t>16–17</t>
    </r>
    <r>
      <rPr>
        <sz val="8"/>
        <color theme="1"/>
        <rFont val="Arial"/>
        <family val="2"/>
      </rPr>
      <t xml:space="preserve"> in both boys and girls before potentially stabilizing.</t>
    </r>
  </si>
  <si>
    <t>Gender Differences in Adults:</t>
  </si>
  <si>
    <r>
      <t>Males:</t>
    </r>
    <r>
      <rPr>
        <sz val="8"/>
        <color theme="1"/>
        <rFont val="Arial"/>
        <family val="2"/>
      </rPr>
      <t xml:space="preserve"> Generally exhibit higher HOMA-IR levels than pre-menopausal women. Men are more likely to have higher ratios in their </t>
    </r>
    <r>
      <rPr>
        <sz val="8"/>
        <color theme="1"/>
        <rFont val="Arial"/>
        <family val="2"/>
      </rPr>
      <t>30s and 40s</t>
    </r>
    <r>
      <rPr>
        <sz val="8"/>
        <color theme="1"/>
        <rFont val="Arial"/>
        <family val="2"/>
      </rPr>
      <t xml:space="preserve"> due to visceral (belly) fat accumulation.</t>
    </r>
  </si>
  <si>
    <r>
      <t>Females:</t>
    </r>
    <r>
      <rPr>
        <sz val="8"/>
        <color theme="1"/>
        <rFont val="Arial"/>
        <family val="2"/>
      </rPr>
      <t xml:space="preserve"> Often maintain better sensitivity until menopause. Post-menopause (usually </t>
    </r>
    <r>
      <rPr>
        <sz val="8"/>
        <color theme="1"/>
        <rFont val="Arial"/>
        <family val="2"/>
      </rPr>
      <t>age 50+</t>
    </r>
    <r>
      <rPr>
        <sz val="8"/>
        <color theme="1"/>
        <rFont val="Arial"/>
        <family val="2"/>
      </rPr>
      <t>), HOMA-IR levels frequently spike and may surpass those of men.</t>
    </r>
  </si>
  <si>
    <r>
      <t>General Indian Trend:</t>
    </r>
    <r>
      <rPr>
        <sz val="8"/>
        <color theme="1"/>
        <rFont val="Arial"/>
        <family val="2"/>
      </rPr>
      <t xml:space="preserve"> Indians typically have a higher mean HOMA-IR compared to other ethnic groups, even when they appear "thin" (known as the </t>
    </r>
    <r>
      <rPr>
        <sz val="8"/>
        <color theme="1"/>
        <rFont val="Arial"/>
        <family val="2"/>
      </rPr>
      <t>Thin-Fat Indian Phenotype</t>
    </r>
    <r>
      <rPr>
        <sz val="8"/>
        <color theme="1"/>
        <rFont val="Arial"/>
        <family val="2"/>
      </rPr>
      <t>). [1, 2, 3, 4, 5, 6, 7, 8, 9]</t>
    </r>
  </si>
  <si>
    <t>HOMA-IR Formula</t>
  </si>
  <si>
    <t>If you have your lab results (using mg/dL for glucose), you can calculate your score:</t>
  </si>
  <si>
    <t>Based on clinical research and the "South Asian phenotype" characteristic of the Indian population, each component plays a specific role in triggering or signaling these conditions.</t>
  </si>
  <si>
    <t>1. Insulin Resistance (The Root Cause) [1]</t>
  </si>
  <si>
    <t>Insulin resistance (IR) is the starting point for most metabolic issues. The components that indicate or cause it include: [1]</t>
  </si>
  <si>
    <r>
      <t>HOMA-IR:</t>
    </r>
    <r>
      <rPr>
        <sz val="8"/>
        <color theme="1"/>
        <rFont val="Arial"/>
        <family val="2"/>
      </rPr>
      <t xml:space="preserve"> The most direct indicator. In Indians, a score </t>
    </r>
    <r>
      <rPr>
        <sz val="8"/>
        <color theme="1"/>
        <rFont val="Arial"/>
        <family val="2"/>
      </rPr>
      <t>\(\ge 2.5\)</t>
    </r>
    <r>
      <rPr>
        <sz val="8"/>
        <color theme="1"/>
        <rFont val="Arial"/>
        <family val="2"/>
      </rPr>
      <t xml:space="preserve"> strongly signals that cells are resisting insulin.</t>
    </r>
  </si>
  <si>
    <r>
      <t>Fasting Insulin:</t>
    </r>
    <r>
      <rPr>
        <sz val="8"/>
        <color theme="1"/>
        <rFont val="Arial"/>
        <family val="2"/>
      </rPr>
      <t xml:space="preserve"> High levels show the pancreas is overworking to manage blood sugar. Levels </t>
    </r>
    <r>
      <rPr>
        <sz val="8"/>
        <color theme="1"/>
        <rFont val="Arial"/>
        <family val="2"/>
      </rPr>
      <t>\(&gt; 12\text{ \mu IU/mL}\)</t>
    </r>
    <r>
      <rPr>
        <sz val="8"/>
        <color theme="1"/>
        <rFont val="Arial"/>
        <family val="2"/>
      </rPr>
      <t xml:space="preserve"> in Indians often signal early resistance.</t>
    </r>
  </si>
  <si>
    <r>
      <t>TG/HDL Ratio:</t>
    </r>
    <r>
      <rPr>
        <sz val="8"/>
        <color theme="1"/>
        <rFont val="Arial"/>
        <family val="2"/>
      </rPr>
      <t xml:space="preserve"> High triglycerides (TG) and low HDL ("good" cholesterol) are actually </t>
    </r>
    <r>
      <rPr>
        <sz val="8"/>
        <color theme="1"/>
        <rFont val="Arial"/>
        <family val="2"/>
      </rPr>
      <t>results</t>
    </r>
    <r>
      <rPr>
        <sz val="8"/>
        <color theme="1"/>
        <rFont val="Arial"/>
        <family val="2"/>
      </rPr>
      <t xml:space="preserve"> of insulin resistance. A ratio </t>
    </r>
    <r>
      <rPr>
        <sz val="8"/>
        <color theme="1"/>
        <rFont val="Arial"/>
        <family val="2"/>
      </rPr>
      <t>\(&gt;3.0\)</t>
    </r>
    <r>
      <rPr>
        <sz val="8"/>
        <color theme="1"/>
        <rFont val="Arial"/>
        <family val="2"/>
      </rPr>
      <t xml:space="preserve"> is a strong surrogate marker for IR in the Indian context.</t>
    </r>
  </si>
  <si>
    <r>
      <t>Triglycerides:</t>
    </r>
    <r>
      <rPr>
        <sz val="8"/>
        <color theme="1"/>
        <rFont val="Arial"/>
        <family val="2"/>
      </rPr>
      <t xml:space="preserve"> Elevated TGs are directly linked to impaired glucose tolerance and are a hallmark of the </t>
    </r>
    <r>
      <rPr>
        <sz val="8"/>
        <color theme="1"/>
        <rFont val="Arial"/>
        <family val="2"/>
      </rPr>
      <t>South Asian "Thin-Fat" Phenotype</t>
    </r>
    <r>
      <rPr>
        <sz val="8"/>
        <color theme="1"/>
        <rFont val="Arial"/>
        <family val="2"/>
      </rPr>
      <t>. [1, 2, 3, 4, 5]</t>
    </r>
  </si>
  <si>
    <t>2. Diabetes (The Result)</t>
  </si>
  <si>
    <t>Diabetes is diagnosed when the body can no longer compensate for insulin resistance, leading to high blood sugar. [1]</t>
  </si>
  <si>
    <r>
      <t>HbA1c:</t>
    </r>
    <r>
      <rPr>
        <sz val="8"/>
        <color theme="1"/>
        <rFont val="Arial"/>
        <family val="2"/>
      </rPr>
      <t xml:space="preserve"> The primary diagnostic tool. It measures average blood sugar over 3 months. A level </t>
    </r>
    <r>
      <rPr>
        <sz val="8"/>
        <color theme="1"/>
        <rFont val="Arial"/>
        <family val="2"/>
      </rPr>
      <t>\(\geq 6.5\%\)</t>
    </r>
    <r>
      <rPr>
        <sz val="8"/>
        <color theme="1"/>
        <rFont val="Arial"/>
        <family val="2"/>
      </rPr>
      <t xml:space="preserve"> confirms diabetes, while </t>
    </r>
    <r>
      <rPr>
        <sz val="8"/>
        <color theme="1"/>
        <rFont val="Arial"/>
        <family val="2"/>
      </rPr>
      <t>\(5.7\text{--}6.4\%\)</t>
    </r>
    <r>
      <rPr>
        <sz val="8"/>
        <color theme="1"/>
        <rFont val="Arial"/>
        <family val="2"/>
      </rPr>
      <t xml:space="preserve"> indicates prediabetes.</t>
    </r>
  </si>
  <si>
    <r>
      <t>HOMA-IR:</t>
    </r>
    <r>
      <rPr>
        <sz val="8"/>
        <color theme="1"/>
        <rFont val="Arial"/>
        <family val="2"/>
      </rPr>
      <t xml:space="preserve"> While not used for diagnosis, an extremely high HOMA-IR (e.g., </t>
    </r>
    <r>
      <rPr>
        <sz val="8"/>
        <color theme="1"/>
        <rFont val="Arial"/>
        <family val="2"/>
      </rPr>
      <t>\(&gt;3.0\)</t>
    </r>
    <r>
      <rPr>
        <sz val="8"/>
        <color theme="1"/>
        <rFont val="Arial"/>
        <family val="2"/>
      </rPr>
      <t>) often co-exists with type 2 diabetes because it shows severe resistance.</t>
    </r>
  </si>
  <si>
    <r>
      <t>HDL &amp; TG:</t>
    </r>
    <r>
      <rPr>
        <sz val="8"/>
        <color theme="1"/>
        <rFont val="Arial"/>
        <family val="2"/>
      </rPr>
      <t xml:space="preserve"> Low HDL and high TGs are often part of "diabetic dyslipidemia," a metabolic state commonly found in Indian diabetics. [1, 2, 3, 4]</t>
    </r>
  </si>
  <si>
    <t>3. Heart Risk (The Complication) [1]</t>
  </si>
  <si>
    <t>Heart risk is the long-term danger caused by the combined effects of the above markers.</t>
  </si>
  <si>
    <r>
      <t>LDL:</t>
    </r>
    <r>
      <rPr>
        <sz val="8"/>
        <color theme="1"/>
        <rFont val="Arial"/>
        <family val="2"/>
      </rPr>
      <t xml:space="preserve"> The "bad" cholesterol. High LDL causes plaque buildup (atherosclerosis). Even at "normal" levels, LDL is a strong predictor of heart disease in Indians with diabetes.</t>
    </r>
  </si>
  <si>
    <r>
      <t>HbA1c:</t>
    </r>
    <r>
      <rPr>
        <sz val="8"/>
        <color theme="1"/>
        <rFont val="Arial"/>
        <family val="2"/>
      </rPr>
      <t xml:space="preserve"> Every </t>
    </r>
    <r>
      <rPr>
        <sz val="8"/>
        <color theme="1"/>
        <rFont val="Arial"/>
        <family val="2"/>
      </rPr>
      <t>\(1\%\)</t>
    </r>
    <r>
      <rPr>
        <sz val="8"/>
        <color theme="1"/>
        <rFont val="Arial"/>
        <family val="2"/>
      </rPr>
      <t xml:space="preserve"> increase in HbA1c above normal is associated with a </t>
    </r>
    <r>
      <rPr>
        <sz val="8"/>
        <color theme="1"/>
        <rFont val="Arial"/>
        <family val="2"/>
      </rPr>
      <t>\(10\text{--}18\%\)</t>
    </r>
    <r>
      <rPr>
        <sz val="8"/>
        <color theme="1"/>
        <rFont val="Arial"/>
        <family val="2"/>
      </rPr>
      <t xml:space="preserve"> increase in the risk of a heart attack (MI).</t>
    </r>
  </si>
  <si>
    <r>
      <t>HDL:</t>
    </r>
    <r>
      <rPr>
        <sz val="8"/>
        <color theme="1"/>
        <rFont val="Arial"/>
        <family val="2"/>
      </rPr>
      <t xml:space="preserve"> Low levels mean the body cannot effectively clear cholesterol from the arteries, significantly raising heart risk.</t>
    </r>
  </si>
  <si>
    <r>
      <t>TG/HDL Ratio:</t>
    </r>
    <r>
      <rPr>
        <sz val="8"/>
        <color theme="1"/>
        <rFont val="Arial"/>
        <family val="2"/>
      </rPr>
      <t xml:space="preserve"> This is often a </t>
    </r>
    <r>
      <rPr>
        <sz val="8"/>
        <color theme="1"/>
        <rFont val="Arial"/>
        <family val="2"/>
      </rPr>
      <t>better predictor</t>
    </r>
    <r>
      <rPr>
        <sz val="8"/>
        <color theme="1"/>
        <rFont val="Arial"/>
        <family val="2"/>
      </rPr>
      <t xml:space="preserve"> of heart attacks than LDL alone, as it signals the presence of small, dense LDL particles that are more likely to clog arteries. [1, 2, 3, 4, 5, 6, 7]</t>
    </r>
  </si>
  <si>
    <t>Component [1, 2, 3, 4, 5]</t>
  </si>
  <si>
    <t>Insulin Resistance</t>
  </si>
  <si>
    <t>Diabetes</t>
  </si>
  <si>
    <t>Heart Risk</t>
  </si>
  <si>
    <t>HOMA-IR</t>
  </si>
  <si>
    <t>⭐ (Primary Indicator)</t>
  </si>
  <si>
    <t>✅ (Precursor)</t>
  </si>
  <si>
    <t>✅ (Predictor)</t>
  </si>
  <si>
    <t>❌ (Result)</t>
  </si>
  <si>
    <t>⭐ (Primary Diagnostic)</t>
  </si>
  <si>
    <t>✅ (Risk Multiplier)</t>
  </si>
  <si>
    <t>❌ (Lipid Component)</t>
  </si>
  <si>
    <t>⭐ (Primary Cause)</t>
  </si>
  <si>
    <t>⭐ (Surrogate Marker)</t>
  </si>
  <si>
    <t>✅ (Associated)</t>
  </si>
  <si>
    <t>⭐ (Strong Predictor)</t>
  </si>
  <si>
    <t>among all the above mentioned components including hdl, ldl and HbA1c. tell which all things can be reasons for- diabetes, heart risk, insuslin resistance</t>
  </si>
  <si>
    <t>Row Labels</t>
  </si>
  <si>
    <t>Grand Total</t>
  </si>
  <si>
    <t>Column Labels</t>
  </si>
  <si>
    <t>Average of HbA1c</t>
  </si>
  <si>
    <t>Average of HDL</t>
  </si>
  <si>
    <t>Average of LDL</t>
  </si>
  <si>
    <t>Average of TG</t>
  </si>
  <si>
    <t>Average of TG_HDL_Ratio</t>
  </si>
  <si>
    <t>Average of Fasting_Insulin</t>
  </si>
  <si>
    <t>Average of HOMA_IR</t>
  </si>
  <si>
    <t>Sum of Diabetic</t>
  </si>
  <si>
    <t>Sum of Insulin_Resistant</t>
  </si>
  <si>
    <t>HbA1c and diabetes relation</t>
  </si>
  <si>
    <t>Gender/ Age group</t>
  </si>
  <si>
    <t xml:space="preserve">Female </t>
  </si>
  <si>
    <t>Prediabetic</t>
  </si>
  <si>
    <t>Total</t>
  </si>
  <si>
    <r>
      <t>Optimal:</t>
    </r>
    <r>
      <rPr>
        <sz val="8"/>
        <color theme="1"/>
        <rFont val="Arial"/>
        <family val="2"/>
      </rPr>
      <t xml:space="preserve"> Less than 100 mg/dL.</t>
    </r>
  </si>
  <si>
    <r>
      <t>Near Optimal:</t>
    </r>
    <r>
      <rPr>
        <sz val="8"/>
        <color theme="1"/>
        <rFont val="Arial"/>
        <family val="2"/>
      </rPr>
      <t xml:space="preserve"> 100–129 mg/dL.</t>
    </r>
  </si>
  <si>
    <r>
      <t>Borderline High:</t>
    </r>
    <r>
      <rPr>
        <sz val="8"/>
        <color theme="1"/>
        <rFont val="Arial"/>
        <family val="2"/>
      </rPr>
      <t xml:space="preserve"> 130–159 mg/dL.</t>
    </r>
  </si>
  <si>
    <r>
      <t>High:</t>
    </r>
    <r>
      <rPr>
        <sz val="8"/>
        <color theme="1"/>
        <rFont val="Arial"/>
        <family val="2"/>
      </rPr>
      <t xml:space="preserve"> 160–189 mg/dL.</t>
    </r>
  </si>
  <si>
    <r>
      <t>Very High:</t>
    </r>
    <r>
      <rPr>
        <sz val="8"/>
        <color theme="1"/>
        <rFont val="Arial"/>
        <family val="2"/>
      </rPr>
      <t xml:space="preserve"> 190 mg/dL or higher. </t>
    </r>
  </si>
  <si>
    <t>Count of Gender</t>
  </si>
  <si>
    <t>Sum of Child</t>
  </si>
  <si>
    <t>Sum of Teen</t>
  </si>
  <si>
    <t>Sum of Adult</t>
  </si>
  <si>
    <t>Sum of Elderly</t>
  </si>
  <si>
    <t>Level of Concern</t>
  </si>
  <si>
    <t>HOMA-IR levels tend to increase with age and show gender differences due to body fat distribution. [1, 2]</t>
  </si>
  <si>
    <r>
      <t>Men:</t>
    </r>
    <r>
      <rPr>
        <sz val="8"/>
        <color theme="1"/>
        <rFont val="Arial"/>
        <family val="2"/>
      </rPr>
      <t xml:space="preserve"> Generally have higher HOMA-IR levels than women in younger and middle age (mean ~2.35), often peaking between 35–40 years.</t>
    </r>
  </si>
  <si>
    <r>
      <t>Women:</t>
    </r>
    <r>
      <rPr>
        <sz val="8"/>
        <color theme="1"/>
        <rFont val="Arial"/>
        <family val="2"/>
      </rPr>
      <t xml:space="preserve"> Show increased levels after age 50, usually rising higher than men post-menopause due to reduced estrogen and increased visceral fat.</t>
    </r>
  </si>
  <si>
    <r>
      <t>Adolescents:</t>
    </r>
    <r>
      <rPr>
        <sz val="8"/>
        <color theme="1"/>
        <rFont val="Arial"/>
        <family val="2"/>
      </rPr>
      <t xml:space="preserve"> HOMA-IR increases with puberty, often peaking around age 13 for girls and 15 for boys. A cutoff of </t>
    </r>
    <r>
      <rPr>
        <sz val="8"/>
        <color theme="1"/>
        <rFont val="Arial"/>
        <family val="2"/>
      </rPr>
      <t>2.5</t>
    </r>
    <r>
      <rPr>
        <sz val="8"/>
        <color theme="1"/>
        <rFont val="Arial"/>
        <family val="2"/>
      </rPr>
      <t xml:space="preserve"> is often used for metabolic syndrome risk in this group</t>
    </r>
  </si>
  <si>
    <t>Age-Specific Breakdown</t>
  </si>
  <si>
    <r>
      <t>Children (Ages 3–11):</t>
    </r>
    <r>
      <rPr>
        <sz val="8"/>
        <color theme="1"/>
        <rFont val="Arial"/>
        <family val="2"/>
      </rPr>
      <t xml:space="preserve"> Pre-pubertal children naturally have very low HOMA-IR scores, often with a median around </t>
    </r>
    <r>
      <rPr>
        <sz val="8"/>
        <color theme="1"/>
        <rFont val="Arial"/>
        <family val="2"/>
      </rPr>
      <t>0.4–0.5</t>
    </r>
    <r>
      <rPr>
        <sz val="8"/>
        <color theme="1"/>
        <rFont val="Arial"/>
        <family val="2"/>
      </rPr>
      <t xml:space="preserve"> for the youngest kids. Research suggests that a cutoff of </t>
    </r>
    <r>
      <rPr>
        <sz val="8"/>
        <color theme="1"/>
        <rFont val="Arial"/>
        <family val="2"/>
      </rPr>
      <t>2.4</t>
    </r>
    <r>
      <rPr>
        <sz val="8"/>
        <color theme="1"/>
        <rFont val="Arial"/>
        <family val="2"/>
      </rPr>
      <t xml:space="preserve"> is a strong indicator of insulin resistance in this group regardless of gender.</t>
    </r>
  </si>
  <si>
    <r>
      <t>Teens (Ages 12–18):</t>
    </r>
    <r>
      <rPr>
        <sz val="8"/>
        <color theme="1"/>
        <rFont val="Arial"/>
        <family val="2"/>
      </rPr>
      <t xml:space="preserve"> This group experiences a physiological increase in HOMA-IR. It typically peaks around </t>
    </r>
    <r>
      <rPr>
        <sz val="8"/>
        <color theme="1"/>
        <rFont val="Arial"/>
        <family val="2"/>
      </rPr>
      <t>age 13 for girls</t>
    </r>
    <r>
      <rPr>
        <sz val="8"/>
        <color theme="1"/>
        <rFont val="Arial"/>
        <family val="2"/>
      </rPr>
      <t xml:space="preserve"> and </t>
    </r>
    <r>
      <rPr>
        <sz val="8"/>
        <color theme="1"/>
        <rFont val="Arial"/>
        <family val="2"/>
      </rPr>
      <t>age 15 for boys</t>
    </r>
    <r>
      <rPr>
        <sz val="8"/>
        <color theme="1"/>
        <rFont val="Arial"/>
        <family val="2"/>
      </rPr>
      <t xml:space="preserve">, often reaching median values of </t>
    </r>
    <r>
      <rPr>
        <sz val="8"/>
        <color theme="1"/>
        <rFont val="Arial"/>
        <family val="2"/>
      </rPr>
      <t>2.8</t>
    </r>
    <r>
      <rPr>
        <sz val="8"/>
        <color theme="1"/>
        <rFont val="Arial"/>
        <family val="2"/>
      </rPr>
      <t xml:space="preserve"> before decreasing as they reach adulthood. Because of this "puberty spike," doctors may use a higher cutoff, sometimes up to </t>
    </r>
    <r>
      <rPr>
        <sz val="8"/>
        <color theme="1"/>
        <rFont val="Arial"/>
        <family val="2"/>
      </rPr>
      <t>3.22</t>
    </r>
    <r>
      <rPr>
        <sz val="8"/>
        <color theme="1"/>
        <rFont val="Arial"/>
        <family val="2"/>
      </rPr>
      <t>, to distinguish between natural development and actual metabolic risk.</t>
    </r>
  </si>
  <si>
    <r>
      <t>Adults (Ages 18–65):</t>
    </r>
    <r>
      <rPr>
        <sz val="8"/>
        <color theme="1"/>
        <rFont val="Arial"/>
        <family val="2"/>
      </rPr>
      <t xml:space="preserve"> For healthy adults, a score between </t>
    </r>
    <r>
      <rPr>
        <sz val="8"/>
        <color theme="1"/>
        <rFont val="Arial"/>
        <family val="2"/>
      </rPr>
      <t>1.0 and 1.9</t>
    </r>
    <r>
      <rPr>
        <sz val="8"/>
        <color theme="1"/>
        <rFont val="Arial"/>
        <family val="2"/>
      </rPr>
      <t xml:space="preserve"> is generally considered normal. Once a score exceeds </t>
    </r>
    <r>
      <rPr>
        <sz val="8"/>
        <color theme="1"/>
        <rFont val="Arial"/>
        <family val="2"/>
      </rPr>
      <t>2.5</t>
    </r>
    <r>
      <rPr>
        <sz val="8"/>
        <color theme="1"/>
        <rFont val="Arial"/>
        <family val="2"/>
      </rPr>
      <t>, the risk of developing type 2 diabetes and heart disease begins to rise significantly.</t>
    </r>
  </si>
  <si>
    <r>
      <t>Elderly (&gt;70 years):</t>
    </r>
    <r>
      <rPr>
        <sz val="8"/>
        <color theme="1"/>
        <rFont val="Arial"/>
        <family val="2"/>
      </rPr>
      <t xml:space="preserve"> In older adults, the diagnostic accuracy of HOMA-IR can decrease. While levels may naturally be slightly higher than younger adults, scores above </t>
    </r>
    <r>
      <rPr>
        <sz val="8"/>
        <color theme="1"/>
        <rFont val="Arial"/>
        <family val="2"/>
      </rPr>
      <t>2.5</t>
    </r>
    <r>
      <rPr>
        <sz val="8"/>
        <color theme="1"/>
        <rFont val="Arial"/>
        <family val="2"/>
      </rPr>
      <t xml:space="preserve"> still suggest metabolic concerns, though they must be interpreted carefully alongside other health factors</t>
    </r>
  </si>
  <si>
    <t>Heart Risk/ Age group</t>
  </si>
  <si>
    <t>insulin resistance</t>
  </si>
  <si>
    <t>Children</t>
  </si>
  <si>
    <t>Teens</t>
  </si>
  <si>
    <t>Adults</t>
  </si>
  <si>
    <t>Seniors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</si>
</sst>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rgb="FFFF0000"/>
      <name val="Calibri"/>
      <family val="2"/>
      <scheme val="minor"/>
    </font>
    <font>
      <sz val="8"/>
      <color theme="1"/>
      <name val="Arial"/>
      <family val="2"/>
    </font>
    <font>
      <sz val="8"/>
      <color theme="1"/>
      <name val="Arial"/>
      <family val="2"/>
    </font>
    <font>
      <i/>
      <sz val="8"/>
      <color theme="1"/>
      <name val="Arial"/>
      <family val="2"/>
    </font>
    <font>
      <u/>
      <sz val="11"/>
      <color theme="10"/>
      <name val="Calibri"/>
      <family val="2"/>
      <scheme val="minor"/>
    </font>
    <font>
      <sz val="10"/>
      <color theme="1"/>
      <name val="Arial"/>
      <family val="2"/>
    </font>
    <font>
      <sz val="7"/>
      <color theme="1"/>
      <name val="Arial"/>
      <family val="2"/>
    </font>
    <font>
      <b/>
      <sz val="7"/>
      <color theme="1"/>
      <name val="Arial"/>
      <family val="2"/>
    </font>
    <font>
      <sz val="7"/>
      <color theme="1"/>
      <name val="Arial"/>
      <family val="2"/>
    </font>
    <font>
      <b/>
      <sz val="15"/>
      <color theme="3"/>
      <name val="Calibri"/>
      <family val="2"/>
      <scheme val="minor"/>
    </font>
    <font>
      <sz val="8"/>
      <color theme="1"/>
      <name val="Arial"/>
      <family val="2"/>
    </font>
    <font>
      <sz val="10"/>
      <color theme="1"/>
      <name val="Arial"/>
      <family val="2"/>
    </font>
  </fonts>
  <fills count="6">
    <fill>
      <patternFill patternType="none"/>
    </fill>
    <fill>
      <patternFill patternType="gray125"/>
    </fill>
    <fill>
      <patternFill patternType="solid">
        <fgColor theme="7" tint="0.79998168889431442"/>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8" tint="0.79998168889431442"/>
        <bgColor indexed="64"/>
      </patternFill>
    </fill>
  </fills>
  <borders count="2">
    <border>
      <left/>
      <right/>
      <top/>
      <bottom/>
      <diagonal/>
    </border>
    <border>
      <left/>
      <right/>
      <top/>
      <bottom style="thick">
        <color theme="4"/>
      </bottom>
      <diagonal/>
    </border>
  </borders>
  <cellStyleXfs count="3">
    <xf numFmtId="0" fontId="0" fillId="0" borderId="0"/>
    <xf numFmtId="0" fontId="5" fillId="0" borderId="0" applyNumberFormat="0" applyFill="0" applyBorder="0" applyAlignment="0" applyProtection="0"/>
    <xf numFmtId="0" fontId="10" fillId="0" borderId="1" applyNumberFormat="0" applyFill="0" applyAlignment="0" applyProtection="0"/>
  </cellStyleXfs>
  <cellXfs count="27">
    <xf numFmtId="0" fontId="0" fillId="0" borderId="0" xfId="0"/>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left" vertical="center" indent="1"/>
    </xf>
    <xf numFmtId="0" fontId="0" fillId="2" borderId="0" xfId="0" applyFill="1"/>
    <xf numFmtId="0" fontId="3" fillId="0" borderId="0" xfId="0" applyFont="1" applyAlignment="1">
      <alignment horizontal="left" vertical="center" indent="2"/>
    </xf>
    <xf numFmtId="0" fontId="2" fillId="0" borderId="0" xfId="0" applyFont="1" applyAlignment="1">
      <alignment horizontal="left" vertical="center" indent="2"/>
    </xf>
    <xf numFmtId="0" fontId="5" fillId="0" borderId="0" xfId="1" applyAlignment="1">
      <alignment vertical="center"/>
    </xf>
    <xf numFmtId="0" fontId="2" fillId="0" borderId="0" xfId="0" applyFont="1"/>
    <xf numFmtId="0" fontId="6" fillId="0" borderId="0" xfId="0" applyFont="1" applyAlignment="1">
      <alignment vertical="center"/>
    </xf>
    <xf numFmtId="0" fontId="8" fillId="0" borderId="0" xfId="0" applyFont="1" applyAlignment="1">
      <alignment horizontal="center" vertical="center" wrapText="1"/>
    </xf>
    <xf numFmtId="0" fontId="9" fillId="0" borderId="0" xfId="0" applyFont="1" applyAlignment="1">
      <alignment vertical="center" wrapText="1"/>
    </xf>
    <xf numFmtId="0" fontId="7" fillId="0" borderId="0" xfId="0" applyFont="1" applyAlignment="1">
      <alignment vertical="center" wrapText="1"/>
    </xf>
    <xf numFmtId="0" fontId="4" fillId="0" borderId="0" xfId="0" applyFont="1" applyAlignment="1">
      <alignment vertical="center"/>
    </xf>
    <xf numFmtId="0" fontId="0" fillId="2" borderId="0" xfId="0" applyFill="1" applyAlignment="1">
      <alignment wrapText="1"/>
    </xf>
    <xf numFmtId="0" fontId="5" fillId="0" borderId="0" xfId="1" applyAlignment="1">
      <alignment vertical="center" wrapText="1"/>
    </xf>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center" vertical="center" wrapText="1"/>
    </xf>
    <xf numFmtId="0" fontId="0" fillId="3" borderId="0" xfId="0" applyFill="1"/>
    <xf numFmtId="0" fontId="11" fillId="0" borderId="0" xfId="0" applyFont="1" applyAlignment="1">
      <alignment vertical="center"/>
    </xf>
    <xf numFmtId="0" fontId="11" fillId="0" borderId="0" xfId="0" applyFont="1" applyAlignment="1">
      <alignment horizontal="left" vertical="center" indent="1"/>
    </xf>
    <xf numFmtId="0" fontId="12" fillId="0" borderId="0" xfId="0" applyFont="1" applyAlignment="1">
      <alignment vertical="center"/>
    </xf>
    <xf numFmtId="0" fontId="0" fillId="4" borderId="0" xfId="0" applyFill="1"/>
    <xf numFmtId="0" fontId="0" fillId="5" borderId="0" xfId="0" applyFill="1"/>
    <xf numFmtId="0" fontId="10" fillId="0" borderId="1" xfId="2" applyAlignment="1">
      <alignment horizontal="center"/>
    </xf>
  </cellXfs>
  <cellStyles count="3">
    <cellStyle name="Heading 1" xfId="2" builtinId="16"/>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Sheet1!$B$9</c:f>
              <c:strCache>
                <c:ptCount val="1"/>
                <c:pt idx="0">
                  <c:v>Sum of Child</c:v>
                </c:pt>
              </c:strCache>
            </c:strRef>
          </c:tx>
          <c:spPr>
            <a:solidFill>
              <a:schemeClr val="accent1"/>
            </a:solidFill>
            <a:ln>
              <a:noFill/>
            </a:ln>
            <a:effectLst/>
          </c:spPr>
          <c:invertIfNegative val="0"/>
          <c:cat>
            <c:strRef>
              <c:f>Sheet1!$A$10:$A$12</c:f>
              <c:strCache>
                <c:ptCount val="2"/>
                <c:pt idx="0">
                  <c:v>Female </c:v>
                </c:pt>
                <c:pt idx="1">
                  <c:v>Male</c:v>
                </c:pt>
              </c:strCache>
            </c:strRef>
          </c:cat>
          <c:val>
            <c:numRef>
              <c:f>Sheet1!$B$10:$B$12</c:f>
              <c:numCache>
                <c:formatCode>General</c:formatCode>
                <c:ptCount val="2"/>
                <c:pt idx="0">
                  <c:v>11</c:v>
                </c:pt>
                <c:pt idx="1">
                  <c:v>11</c:v>
                </c:pt>
              </c:numCache>
            </c:numRef>
          </c:val>
          <c:extLst>
            <c:ext xmlns:c16="http://schemas.microsoft.com/office/drawing/2014/chart" uri="{C3380CC4-5D6E-409C-BE32-E72D297353CC}">
              <c16:uniqueId val="{00000000-CF2C-4189-B29C-FDAF37F7F8F9}"/>
            </c:ext>
          </c:extLst>
        </c:ser>
        <c:ser>
          <c:idx val="1"/>
          <c:order val="1"/>
          <c:tx>
            <c:strRef>
              <c:f>Sheet1!$C$9</c:f>
              <c:strCache>
                <c:ptCount val="1"/>
                <c:pt idx="0">
                  <c:v>Sum of Teen</c:v>
                </c:pt>
              </c:strCache>
            </c:strRef>
          </c:tx>
          <c:spPr>
            <a:solidFill>
              <a:schemeClr val="accent2"/>
            </a:solidFill>
            <a:ln>
              <a:noFill/>
            </a:ln>
            <a:effectLst/>
          </c:spPr>
          <c:invertIfNegative val="0"/>
          <c:cat>
            <c:strRef>
              <c:f>Sheet1!$A$10:$A$12</c:f>
              <c:strCache>
                <c:ptCount val="2"/>
                <c:pt idx="0">
                  <c:v>Female </c:v>
                </c:pt>
                <c:pt idx="1">
                  <c:v>Male</c:v>
                </c:pt>
              </c:strCache>
            </c:strRef>
          </c:cat>
          <c:val>
            <c:numRef>
              <c:f>Sheet1!$C$10:$C$12</c:f>
              <c:numCache>
                <c:formatCode>General</c:formatCode>
                <c:ptCount val="2"/>
                <c:pt idx="0">
                  <c:v>6</c:v>
                </c:pt>
                <c:pt idx="1">
                  <c:v>4</c:v>
                </c:pt>
              </c:numCache>
            </c:numRef>
          </c:val>
          <c:extLst>
            <c:ext xmlns:c16="http://schemas.microsoft.com/office/drawing/2014/chart" uri="{C3380CC4-5D6E-409C-BE32-E72D297353CC}">
              <c16:uniqueId val="{00000001-CF2C-4189-B29C-FDAF37F7F8F9}"/>
            </c:ext>
          </c:extLst>
        </c:ser>
        <c:ser>
          <c:idx val="2"/>
          <c:order val="2"/>
          <c:tx>
            <c:strRef>
              <c:f>Sheet1!$D$9</c:f>
              <c:strCache>
                <c:ptCount val="1"/>
                <c:pt idx="0">
                  <c:v>Sum of Adult</c:v>
                </c:pt>
              </c:strCache>
            </c:strRef>
          </c:tx>
          <c:spPr>
            <a:solidFill>
              <a:schemeClr val="accent3"/>
            </a:solidFill>
            <a:ln>
              <a:noFill/>
            </a:ln>
            <a:effectLst/>
          </c:spPr>
          <c:invertIfNegative val="0"/>
          <c:cat>
            <c:strRef>
              <c:f>Sheet1!$A$10:$A$12</c:f>
              <c:strCache>
                <c:ptCount val="2"/>
                <c:pt idx="0">
                  <c:v>Female </c:v>
                </c:pt>
                <c:pt idx="1">
                  <c:v>Male</c:v>
                </c:pt>
              </c:strCache>
            </c:strRef>
          </c:cat>
          <c:val>
            <c:numRef>
              <c:f>Sheet1!$D$10:$D$12</c:f>
              <c:numCache>
                <c:formatCode>General</c:formatCode>
                <c:ptCount val="2"/>
                <c:pt idx="0">
                  <c:v>13</c:v>
                </c:pt>
                <c:pt idx="1">
                  <c:v>11</c:v>
                </c:pt>
              </c:numCache>
            </c:numRef>
          </c:val>
          <c:extLst>
            <c:ext xmlns:c16="http://schemas.microsoft.com/office/drawing/2014/chart" uri="{C3380CC4-5D6E-409C-BE32-E72D297353CC}">
              <c16:uniqueId val="{00000002-CF2C-4189-B29C-FDAF37F7F8F9}"/>
            </c:ext>
          </c:extLst>
        </c:ser>
        <c:ser>
          <c:idx val="3"/>
          <c:order val="3"/>
          <c:tx>
            <c:strRef>
              <c:f>Sheet1!$E$9</c:f>
              <c:strCache>
                <c:ptCount val="1"/>
                <c:pt idx="0">
                  <c:v>Sum of Elderly</c:v>
                </c:pt>
              </c:strCache>
            </c:strRef>
          </c:tx>
          <c:spPr>
            <a:solidFill>
              <a:schemeClr val="accent4"/>
            </a:solidFill>
            <a:ln>
              <a:noFill/>
            </a:ln>
            <a:effectLst/>
          </c:spPr>
          <c:invertIfNegative val="0"/>
          <c:cat>
            <c:strRef>
              <c:f>Sheet1!$A$10:$A$12</c:f>
              <c:strCache>
                <c:ptCount val="2"/>
                <c:pt idx="0">
                  <c:v>Female </c:v>
                </c:pt>
                <c:pt idx="1">
                  <c:v>Male</c:v>
                </c:pt>
              </c:strCache>
            </c:strRef>
          </c:cat>
          <c:val>
            <c:numRef>
              <c:f>Sheet1!$E$10:$E$12</c:f>
              <c:numCache>
                <c:formatCode>General</c:formatCode>
                <c:ptCount val="2"/>
                <c:pt idx="0">
                  <c:v>3</c:v>
                </c:pt>
                <c:pt idx="1">
                  <c:v>0</c:v>
                </c:pt>
              </c:numCache>
            </c:numRef>
          </c:val>
          <c:extLst>
            <c:ext xmlns:c16="http://schemas.microsoft.com/office/drawing/2014/chart" uri="{C3380CC4-5D6E-409C-BE32-E72D297353CC}">
              <c16:uniqueId val="{00000003-CF2C-4189-B29C-FDAF37F7F8F9}"/>
            </c:ext>
          </c:extLst>
        </c:ser>
        <c:dLbls>
          <c:showLegendKey val="0"/>
          <c:showVal val="0"/>
          <c:showCatName val="0"/>
          <c:showSerName val="0"/>
          <c:showPercent val="0"/>
          <c:showBubbleSize val="0"/>
        </c:dLbls>
        <c:gapWidth val="219"/>
        <c:overlap val="-27"/>
        <c:axId val="1657777168"/>
        <c:axId val="1657779088"/>
      </c:barChart>
      <c:catAx>
        <c:axId val="165777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79088"/>
        <c:crosses val="autoZero"/>
        <c:auto val="1"/>
        <c:lblAlgn val="ctr"/>
        <c:lblOffset val="100"/>
        <c:noMultiLvlLbl val="0"/>
      </c:catAx>
      <c:valAx>
        <c:axId val="165777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77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[DASHBOARD-INDIA-Insulin_Resistance.xlsx]Sheet1!PivotTable4</c:name>
    <c:fmtId val="0"/>
  </c:pivotSource>
  <c:chart>
    <c:title>
      <c:tx>
        <c:rich>
          <a:bodyPr rot="0" spcFirstLastPara="1" vertOverflow="ellipsis" vert="horz" wrap="square" anchor="ctr" anchorCtr="1"/>
          <a:lstStyle/>
          <a:p>
            <a:pPr>
              <a:defRPr sz="1200" b="1" i="0" u="sng" strike="noStrike" kern="1200" spc="0" baseline="0">
                <a:solidFill>
                  <a:schemeClr val="tx1"/>
                </a:solidFill>
                <a:latin typeface="Arial Black" panose="020B0A04020102020204" pitchFamily="34" charset="0"/>
                <a:ea typeface="+mn-ea"/>
                <a:cs typeface="+mn-cs"/>
              </a:defRPr>
            </a:pPr>
            <a:r>
              <a:rPr lang="en-US" sz="1200" b="1" i="0" u="sng">
                <a:solidFill>
                  <a:schemeClr val="tx1"/>
                </a:solidFill>
                <a:latin typeface="Arial Black" panose="020B0A04020102020204" pitchFamily="34" charset="0"/>
              </a:rPr>
              <a:t>Prediabetic Dempgraphic (2005-24) </a:t>
            </a:r>
          </a:p>
        </c:rich>
      </c:tx>
      <c:overlay val="0"/>
      <c:spPr>
        <a:noFill/>
        <a:ln>
          <a:noFill/>
        </a:ln>
        <a:effectLst/>
      </c:spPr>
      <c:txPr>
        <a:bodyPr rot="0" spcFirstLastPara="1" vertOverflow="ellipsis" vert="horz" wrap="square" anchor="ctr" anchorCtr="1"/>
        <a:lstStyle/>
        <a:p>
          <a:pPr>
            <a:defRPr sz="1200" b="1" i="0" u="sng"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Sheet1!$I$9</c:f>
              <c:strCache>
                <c:ptCount val="1"/>
                <c:pt idx="0">
                  <c:v>Children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Sheet1!$H$10:$H$12</c:f>
              <c:strCache>
                <c:ptCount val="2"/>
                <c:pt idx="0">
                  <c:v>Female </c:v>
                </c:pt>
                <c:pt idx="1">
                  <c:v>Male</c:v>
                </c:pt>
              </c:strCache>
            </c:strRef>
          </c:cat>
          <c:val>
            <c:numRef>
              <c:f>Sheet1!$I$10:$I$12</c:f>
              <c:numCache>
                <c:formatCode>General</c:formatCode>
                <c:ptCount val="2"/>
                <c:pt idx="0">
                  <c:v>17</c:v>
                </c:pt>
                <c:pt idx="1">
                  <c:v>17</c:v>
                </c:pt>
              </c:numCache>
            </c:numRef>
          </c:val>
          <c:extLst>
            <c:ext xmlns:c16="http://schemas.microsoft.com/office/drawing/2014/chart" uri="{C3380CC4-5D6E-409C-BE32-E72D297353CC}">
              <c16:uniqueId val="{00000000-2081-4C5B-968B-0D47F6914E4E}"/>
            </c:ext>
          </c:extLst>
        </c:ser>
        <c:ser>
          <c:idx val="1"/>
          <c:order val="1"/>
          <c:tx>
            <c:strRef>
              <c:f>Sheet1!$J$9</c:f>
              <c:strCache>
                <c:ptCount val="1"/>
                <c:pt idx="0">
                  <c:v>Teens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Sheet1!$H$10:$H$12</c:f>
              <c:strCache>
                <c:ptCount val="2"/>
                <c:pt idx="0">
                  <c:v>Female </c:v>
                </c:pt>
                <c:pt idx="1">
                  <c:v>Male</c:v>
                </c:pt>
              </c:strCache>
            </c:strRef>
          </c:cat>
          <c:val>
            <c:numRef>
              <c:f>Sheet1!$J$10:$J$12</c:f>
              <c:numCache>
                <c:formatCode>General</c:formatCode>
                <c:ptCount val="2"/>
                <c:pt idx="0">
                  <c:v>6</c:v>
                </c:pt>
                <c:pt idx="1">
                  <c:v>12</c:v>
                </c:pt>
              </c:numCache>
            </c:numRef>
          </c:val>
          <c:extLst>
            <c:ext xmlns:c16="http://schemas.microsoft.com/office/drawing/2014/chart" uri="{C3380CC4-5D6E-409C-BE32-E72D297353CC}">
              <c16:uniqueId val="{00000001-2081-4C5B-968B-0D47F6914E4E}"/>
            </c:ext>
          </c:extLst>
        </c:ser>
        <c:ser>
          <c:idx val="2"/>
          <c:order val="2"/>
          <c:tx>
            <c:strRef>
              <c:f>Sheet1!$K$9</c:f>
              <c:strCache>
                <c:ptCount val="1"/>
                <c:pt idx="0">
                  <c:v>Adults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Sheet1!$H$10:$H$12</c:f>
              <c:strCache>
                <c:ptCount val="2"/>
                <c:pt idx="0">
                  <c:v>Female </c:v>
                </c:pt>
                <c:pt idx="1">
                  <c:v>Male</c:v>
                </c:pt>
              </c:strCache>
            </c:strRef>
          </c:cat>
          <c:val>
            <c:numRef>
              <c:f>Sheet1!$K$10:$K$12</c:f>
              <c:numCache>
                <c:formatCode>General</c:formatCode>
                <c:ptCount val="2"/>
                <c:pt idx="0">
                  <c:v>42</c:v>
                </c:pt>
                <c:pt idx="1">
                  <c:v>28</c:v>
                </c:pt>
              </c:numCache>
            </c:numRef>
          </c:val>
          <c:extLst>
            <c:ext xmlns:c16="http://schemas.microsoft.com/office/drawing/2014/chart" uri="{C3380CC4-5D6E-409C-BE32-E72D297353CC}">
              <c16:uniqueId val="{00000002-2081-4C5B-968B-0D47F6914E4E}"/>
            </c:ext>
          </c:extLst>
        </c:ser>
        <c:ser>
          <c:idx val="3"/>
          <c:order val="3"/>
          <c:tx>
            <c:strRef>
              <c:f>Sheet1!$L$9</c:f>
              <c:strCache>
                <c:ptCount val="1"/>
                <c:pt idx="0">
                  <c:v>Seniors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Sheet1!$H$10:$H$12</c:f>
              <c:strCache>
                <c:ptCount val="2"/>
                <c:pt idx="0">
                  <c:v>Female </c:v>
                </c:pt>
                <c:pt idx="1">
                  <c:v>Male</c:v>
                </c:pt>
              </c:strCache>
            </c:strRef>
          </c:cat>
          <c:val>
            <c:numRef>
              <c:f>Sheet1!$L$10:$L$12</c:f>
              <c:numCache>
                <c:formatCode>General</c:formatCode>
                <c:ptCount val="2"/>
                <c:pt idx="0">
                  <c:v>8</c:v>
                </c:pt>
                <c:pt idx="1">
                  <c:v>9</c:v>
                </c:pt>
              </c:numCache>
            </c:numRef>
          </c:val>
          <c:extLst>
            <c:ext xmlns:c16="http://schemas.microsoft.com/office/drawing/2014/chart" uri="{C3380CC4-5D6E-409C-BE32-E72D297353CC}">
              <c16:uniqueId val="{00000003-2081-4C5B-968B-0D47F6914E4E}"/>
            </c:ext>
          </c:extLst>
        </c:ser>
        <c:dLbls>
          <c:dLblPos val="outEnd"/>
          <c:showLegendKey val="0"/>
          <c:showVal val="1"/>
          <c:showCatName val="0"/>
          <c:showSerName val="0"/>
          <c:showPercent val="0"/>
          <c:showBubbleSize val="0"/>
        </c:dLbls>
        <c:gapWidth val="219"/>
        <c:overlap val="-27"/>
        <c:axId val="1657774288"/>
        <c:axId val="1657791088"/>
      </c:barChart>
      <c:catAx>
        <c:axId val="165777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7791088"/>
        <c:crosses val="autoZero"/>
        <c:auto val="1"/>
        <c:lblAlgn val="ctr"/>
        <c:lblOffset val="100"/>
        <c:noMultiLvlLbl val="0"/>
      </c:catAx>
      <c:valAx>
        <c:axId val="1657791088"/>
        <c:scaling>
          <c:orientation val="minMax"/>
        </c:scaling>
        <c:delete val="1"/>
        <c:axPos val="l"/>
        <c:numFmt formatCode="General" sourceLinked="1"/>
        <c:majorTickMark val="none"/>
        <c:minorTickMark val="none"/>
        <c:tickLblPos val="nextTo"/>
        <c:crossAx val="16577742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[DASHBOARD-INDIA-Insulin_Resistance.xlsx]Sheet1!PivotTable5</c:name>
    <c:fmtId val="0"/>
  </c:pivotSource>
  <c:chart>
    <c:title>
      <c:tx>
        <c:rich>
          <a:bodyPr rot="0" spcFirstLastPara="1" vertOverflow="ellipsis" vert="horz" wrap="square" anchor="ctr" anchorCtr="1"/>
          <a:lstStyle/>
          <a:p>
            <a:pPr>
              <a:defRPr sz="1200" b="1" i="0" u="sng" strike="noStrike" kern="1200" spc="0" baseline="0">
                <a:solidFill>
                  <a:schemeClr val="tx1"/>
                </a:solidFill>
                <a:latin typeface="Arial Black" panose="020B0A04020102020204" pitchFamily="34" charset="0"/>
                <a:ea typeface="+mn-ea"/>
                <a:cs typeface="+mn-cs"/>
              </a:defRPr>
            </a:pPr>
            <a:r>
              <a:rPr lang="en-US" sz="1200" b="1" u="sng">
                <a:solidFill>
                  <a:schemeClr val="tx1"/>
                </a:solidFill>
                <a:latin typeface="Arial Black" panose="020B0A04020102020204" pitchFamily="34" charset="0"/>
              </a:rPr>
              <a:t>Diabetic</a:t>
            </a:r>
            <a:r>
              <a:rPr lang="en-US" sz="1200" b="1" u="sng" baseline="0">
                <a:solidFill>
                  <a:schemeClr val="tx1"/>
                </a:solidFill>
                <a:latin typeface="Arial Black" panose="020B0A04020102020204" pitchFamily="34" charset="0"/>
              </a:rPr>
              <a:t> Demographic</a:t>
            </a:r>
            <a:r>
              <a:rPr lang="en-US" sz="1200" b="1" u="sng">
                <a:solidFill>
                  <a:schemeClr val="tx1"/>
                </a:solidFill>
                <a:latin typeface="Arial Black" panose="020B0A04020102020204" pitchFamily="34" charset="0"/>
              </a:rPr>
              <a:t> (2005-24)</a:t>
            </a:r>
          </a:p>
        </c:rich>
      </c:tx>
      <c:overlay val="0"/>
      <c:spPr>
        <a:noFill/>
        <a:ln>
          <a:noFill/>
        </a:ln>
        <a:effectLst/>
      </c:spPr>
      <c:txPr>
        <a:bodyPr rot="0" spcFirstLastPara="1" vertOverflow="ellipsis" vert="horz" wrap="square" anchor="ctr" anchorCtr="1"/>
        <a:lstStyle/>
        <a:p>
          <a:pPr>
            <a:defRPr sz="1200" b="1" i="0" u="sng" strike="noStrike" kern="1200"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Sheet1!$P$9</c:f>
              <c:strCache>
                <c:ptCount val="1"/>
                <c:pt idx="0">
                  <c:v>Children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Sheet1!$O$10:$O$12</c:f>
              <c:strCache>
                <c:ptCount val="2"/>
                <c:pt idx="0">
                  <c:v>Female </c:v>
                </c:pt>
                <c:pt idx="1">
                  <c:v>Male</c:v>
                </c:pt>
              </c:strCache>
            </c:strRef>
          </c:cat>
          <c:val>
            <c:numRef>
              <c:f>Sheet1!$P$10:$P$12</c:f>
              <c:numCache>
                <c:formatCode>General</c:formatCode>
                <c:ptCount val="2"/>
                <c:pt idx="0">
                  <c:v>35</c:v>
                </c:pt>
                <c:pt idx="1">
                  <c:v>46</c:v>
                </c:pt>
              </c:numCache>
            </c:numRef>
          </c:val>
          <c:extLst>
            <c:ext xmlns:c16="http://schemas.microsoft.com/office/drawing/2014/chart" uri="{C3380CC4-5D6E-409C-BE32-E72D297353CC}">
              <c16:uniqueId val="{00000000-C5B1-4D5D-AB7E-72F4F432688F}"/>
            </c:ext>
          </c:extLst>
        </c:ser>
        <c:ser>
          <c:idx val="1"/>
          <c:order val="1"/>
          <c:tx>
            <c:strRef>
              <c:f>Sheet1!$Q$9</c:f>
              <c:strCache>
                <c:ptCount val="1"/>
                <c:pt idx="0">
                  <c:v>Teens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Sheet1!$O$10:$O$12</c:f>
              <c:strCache>
                <c:ptCount val="2"/>
                <c:pt idx="0">
                  <c:v>Female </c:v>
                </c:pt>
                <c:pt idx="1">
                  <c:v>Male</c:v>
                </c:pt>
              </c:strCache>
            </c:strRef>
          </c:cat>
          <c:val>
            <c:numRef>
              <c:f>Sheet1!$Q$10:$Q$12</c:f>
              <c:numCache>
                <c:formatCode>General</c:formatCode>
                <c:ptCount val="2"/>
                <c:pt idx="0">
                  <c:v>27</c:v>
                </c:pt>
                <c:pt idx="1">
                  <c:v>36</c:v>
                </c:pt>
              </c:numCache>
            </c:numRef>
          </c:val>
          <c:extLst>
            <c:ext xmlns:c16="http://schemas.microsoft.com/office/drawing/2014/chart" uri="{C3380CC4-5D6E-409C-BE32-E72D297353CC}">
              <c16:uniqueId val="{00000001-C5B1-4D5D-AB7E-72F4F432688F}"/>
            </c:ext>
          </c:extLst>
        </c:ser>
        <c:ser>
          <c:idx val="2"/>
          <c:order val="2"/>
          <c:tx>
            <c:strRef>
              <c:f>Sheet1!$R$9</c:f>
              <c:strCache>
                <c:ptCount val="1"/>
                <c:pt idx="0">
                  <c:v>Adults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Sheet1!$O$10:$O$12</c:f>
              <c:strCache>
                <c:ptCount val="2"/>
                <c:pt idx="0">
                  <c:v>Female </c:v>
                </c:pt>
                <c:pt idx="1">
                  <c:v>Male</c:v>
                </c:pt>
              </c:strCache>
            </c:strRef>
          </c:cat>
          <c:val>
            <c:numRef>
              <c:f>Sheet1!$R$10:$R$12</c:f>
              <c:numCache>
                <c:formatCode>General</c:formatCode>
                <c:ptCount val="2"/>
                <c:pt idx="0">
                  <c:v>195</c:v>
                </c:pt>
                <c:pt idx="1">
                  <c:v>177</c:v>
                </c:pt>
              </c:numCache>
            </c:numRef>
          </c:val>
          <c:extLst>
            <c:ext xmlns:c16="http://schemas.microsoft.com/office/drawing/2014/chart" uri="{C3380CC4-5D6E-409C-BE32-E72D297353CC}">
              <c16:uniqueId val="{00000002-C5B1-4D5D-AB7E-72F4F432688F}"/>
            </c:ext>
          </c:extLst>
        </c:ser>
        <c:ser>
          <c:idx val="3"/>
          <c:order val="3"/>
          <c:tx>
            <c:strRef>
              <c:f>Sheet1!$S$9</c:f>
              <c:strCache>
                <c:ptCount val="1"/>
                <c:pt idx="0">
                  <c:v>Seniors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Sheet1!$O$10:$O$12</c:f>
              <c:strCache>
                <c:ptCount val="2"/>
                <c:pt idx="0">
                  <c:v>Female </c:v>
                </c:pt>
                <c:pt idx="1">
                  <c:v>Male</c:v>
                </c:pt>
              </c:strCache>
            </c:strRef>
          </c:cat>
          <c:val>
            <c:numRef>
              <c:f>Sheet1!$S$10:$S$12</c:f>
              <c:numCache>
                <c:formatCode>General</c:formatCode>
                <c:ptCount val="2"/>
                <c:pt idx="0">
                  <c:v>151</c:v>
                </c:pt>
                <c:pt idx="1">
                  <c:v>137</c:v>
                </c:pt>
              </c:numCache>
            </c:numRef>
          </c:val>
          <c:extLst>
            <c:ext xmlns:c16="http://schemas.microsoft.com/office/drawing/2014/chart" uri="{C3380CC4-5D6E-409C-BE32-E72D297353CC}">
              <c16:uniqueId val="{00000003-C5B1-4D5D-AB7E-72F4F432688F}"/>
            </c:ext>
          </c:extLst>
        </c:ser>
        <c:dLbls>
          <c:dLblPos val="outEnd"/>
          <c:showLegendKey val="0"/>
          <c:showVal val="1"/>
          <c:showCatName val="0"/>
          <c:showSerName val="0"/>
          <c:showPercent val="0"/>
          <c:showBubbleSize val="0"/>
        </c:dLbls>
        <c:gapWidth val="219"/>
        <c:overlap val="-27"/>
        <c:axId val="1310721840"/>
        <c:axId val="1657832848"/>
      </c:barChart>
      <c:catAx>
        <c:axId val="131072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57832848"/>
        <c:crosses val="autoZero"/>
        <c:auto val="1"/>
        <c:lblAlgn val="ctr"/>
        <c:lblOffset val="100"/>
        <c:noMultiLvlLbl val="0"/>
      </c:catAx>
      <c:valAx>
        <c:axId val="1657832848"/>
        <c:scaling>
          <c:orientation val="minMax"/>
        </c:scaling>
        <c:delete val="1"/>
        <c:axPos val="l"/>
        <c:numFmt formatCode="General" sourceLinked="1"/>
        <c:majorTickMark val="none"/>
        <c:minorTickMark val="none"/>
        <c:tickLblPos val="nextTo"/>
        <c:crossAx val="131072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sng" strike="noStrike" kern="1200" spc="0" baseline="0">
                <a:solidFill>
                  <a:schemeClr val="tx1"/>
                </a:solidFill>
                <a:latin typeface="Arial Black" panose="020B0A04020102020204" pitchFamily="34" charset="0"/>
                <a:ea typeface="+mn-ea"/>
                <a:cs typeface="+mn-cs"/>
              </a:defRPr>
            </a:pPr>
            <a:r>
              <a:rPr lang="en-IN" sz="1200" b="1" u="sng">
                <a:solidFill>
                  <a:schemeClr val="tx1"/>
                </a:solidFill>
                <a:latin typeface="Arial Black" panose="020B0A04020102020204" pitchFamily="34" charset="0"/>
              </a:rPr>
              <a:t>Heart</a:t>
            </a:r>
            <a:r>
              <a:rPr lang="en-IN" sz="1200" b="1" u="sng" baseline="0">
                <a:solidFill>
                  <a:schemeClr val="tx1"/>
                </a:solidFill>
                <a:latin typeface="Arial Black" panose="020B0A04020102020204" pitchFamily="34" charset="0"/>
              </a:rPr>
              <a:t> Risk - Men (2005-24) </a:t>
            </a:r>
            <a:endParaRPr lang="en-IN" sz="1200" b="1" u="sng">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200" b="1" i="0" u="sng" strike="noStrike" kern="1200" spc="0" baseline="0">
              <a:solidFill>
                <a:schemeClr val="tx1"/>
              </a:solidFill>
              <a:latin typeface="Arial Black" panose="020B0A04020102020204" pitchFamily="34" charset="0"/>
              <a:ea typeface="+mn-ea"/>
              <a:cs typeface="+mn-cs"/>
            </a:defRPr>
          </a:pPr>
          <a:endParaRPr lang="en-IN"/>
        </a:p>
      </c:txPr>
    </c:title>
    <c:autoTitleDeleted val="0"/>
    <c:plotArea>
      <c:layout/>
      <c:barChart>
        <c:barDir val="bar"/>
        <c:grouping val="clustered"/>
        <c:varyColors val="0"/>
        <c:ser>
          <c:idx val="0"/>
          <c:order val="0"/>
          <c:tx>
            <c:strRef>
              <c:f>Sheet1!$B$37</c:f>
              <c:strCache>
                <c:ptCount val="1"/>
                <c:pt idx="0">
                  <c:v>Children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Sheet1!$A$38:$A$40</c:f>
              <c:strCache>
                <c:ptCount val="3"/>
                <c:pt idx="0">
                  <c:v>Low</c:v>
                </c:pt>
                <c:pt idx="1">
                  <c:v>Medium</c:v>
                </c:pt>
                <c:pt idx="2">
                  <c:v>High</c:v>
                </c:pt>
              </c:strCache>
            </c:strRef>
          </c:cat>
          <c:val>
            <c:numRef>
              <c:f>Sheet1!$B$38:$B$40</c:f>
              <c:numCache>
                <c:formatCode>General</c:formatCode>
                <c:ptCount val="3"/>
                <c:pt idx="0">
                  <c:v>21</c:v>
                </c:pt>
                <c:pt idx="1">
                  <c:v>20</c:v>
                </c:pt>
                <c:pt idx="2">
                  <c:v>33</c:v>
                </c:pt>
              </c:numCache>
            </c:numRef>
          </c:val>
          <c:extLst>
            <c:ext xmlns:c16="http://schemas.microsoft.com/office/drawing/2014/chart" uri="{C3380CC4-5D6E-409C-BE32-E72D297353CC}">
              <c16:uniqueId val="{00000000-DC9C-446D-8B26-061FDFE84513}"/>
            </c:ext>
          </c:extLst>
        </c:ser>
        <c:ser>
          <c:idx val="1"/>
          <c:order val="1"/>
          <c:tx>
            <c:strRef>
              <c:f>Sheet1!$C$37</c:f>
              <c:strCache>
                <c:ptCount val="1"/>
                <c:pt idx="0">
                  <c:v>Teens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Sheet1!$A$38:$A$40</c:f>
              <c:strCache>
                <c:ptCount val="3"/>
                <c:pt idx="0">
                  <c:v>Low</c:v>
                </c:pt>
                <c:pt idx="1">
                  <c:v>Medium</c:v>
                </c:pt>
                <c:pt idx="2">
                  <c:v>High</c:v>
                </c:pt>
              </c:strCache>
            </c:strRef>
          </c:cat>
          <c:val>
            <c:numRef>
              <c:f>Sheet1!$C$38:$C$40</c:f>
              <c:numCache>
                <c:formatCode>General</c:formatCode>
                <c:ptCount val="3"/>
                <c:pt idx="0">
                  <c:v>11</c:v>
                </c:pt>
                <c:pt idx="1">
                  <c:v>14</c:v>
                </c:pt>
                <c:pt idx="2">
                  <c:v>27</c:v>
                </c:pt>
              </c:numCache>
            </c:numRef>
          </c:val>
          <c:extLst>
            <c:ext xmlns:c16="http://schemas.microsoft.com/office/drawing/2014/chart" uri="{C3380CC4-5D6E-409C-BE32-E72D297353CC}">
              <c16:uniqueId val="{00000001-DC9C-446D-8B26-061FDFE84513}"/>
            </c:ext>
          </c:extLst>
        </c:ser>
        <c:ser>
          <c:idx val="2"/>
          <c:order val="2"/>
          <c:tx>
            <c:strRef>
              <c:f>Sheet1!$D$37</c:f>
              <c:strCache>
                <c:ptCount val="1"/>
                <c:pt idx="0">
                  <c:v>Adults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Sheet1!$A$38:$A$40</c:f>
              <c:strCache>
                <c:ptCount val="3"/>
                <c:pt idx="0">
                  <c:v>Low</c:v>
                </c:pt>
                <c:pt idx="1">
                  <c:v>Medium</c:v>
                </c:pt>
                <c:pt idx="2">
                  <c:v>High</c:v>
                </c:pt>
              </c:strCache>
            </c:strRef>
          </c:cat>
          <c:val>
            <c:numRef>
              <c:f>Sheet1!$D$38:$D$40</c:f>
              <c:numCache>
                <c:formatCode>General</c:formatCode>
                <c:ptCount val="3"/>
                <c:pt idx="0">
                  <c:v>28</c:v>
                </c:pt>
                <c:pt idx="1">
                  <c:v>48</c:v>
                </c:pt>
                <c:pt idx="2">
                  <c:v>139</c:v>
                </c:pt>
              </c:numCache>
            </c:numRef>
          </c:val>
          <c:extLst>
            <c:ext xmlns:c16="http://schemas.microsoft.com/office/drawing/2014/chart" uri="{C3380CC4-5D6E-409C-BE32-E72D297353CC}">
              <c16:uniqueId val="{00000002-DC9C-446D-8B26-061FDFE84513}"/>
            </c:ext>
          </c:extLst>
        </c:ser>
        <c:ser>
          <c:idx val="3"/>
          <c:order val="3"/>
          <c:tx>
            <c:strRef>
              <c:f>Sheet1!$E$37</c:f>
              <c:strCache>
                <c:ptCount val="1"/>
                <c:pt idx="0">
                  <c:v>Seniors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Sheet1!$A$38:$A$40</c:f>
              <c:strCache>
                <c:ptCount val="3"/>
                <c:pt idx="0">
                  <c:v>Low</c:v>
                </c:pt>
                <c:pt idx="1">
                  <c:v>Medium</c:v>
                </c:pt>
                <c:pt idx="2">
                  <c:v>High</c:v>
                </c:pt>
              </c:strCache>
            </c:strRef>
          </c:cat>
          <c:val>
            <c:numRef>
              <c:f>Sheet1!$E$38:$E$40</c:f>
              <c:numCache>
                <c:formatCode>General</c:formatCode>
                <c:ptCount val="3"/>
                <c:pt idx="0">
                  <c:v>16</c:v>
                </c:pt>
                <c:pt idx="1">
                  <c:v>30</c:v>
                </c:pt>
                <c:pt idx="2">
                  <c:v>100</c:v>
                </c:pt>
              </c:numCache>
            </c:numRef>
          </c:val>
          <c:extLst>
            <c:ext xmlns:c16="http://schemas.microsoft.com/office/drawing/2014/chart" uri="{C3380CC4-5D6E-409C-BE32-E72D297353CC}">
              <c16:uniqueId val="{00000003-DC9C-446D-8B26-061FDFE84513}"/>
            </c:ext>
          </c:extLst>
        </c:ser>
        <c:dLbls>
          <c:dLblPos val="outEnd"/>
          <c:showLegendKey val="0"/>
          <c:showVal val="1"/>
          <c:showCatName val="0"/>
          <c:showSerName val="0"/>
          <c:showPercent val="0"/>
          <c:showBubbleSize val="0"/>
        </c:dLbls>
        <c:gapWidth val="150"/>
        <c:axId val="1836077183"/>
        <c:axId val="1836084383"/>
      </c:barChart>
      <c:catAx>
        <c:axId val="1836077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36084383"/>
        <c:crosses val="autoZero"/>
        <c:auto val="1"/>
        <c:lblAlgn val="ctr"/>
        <c:lblOffset val="100"/>
        <c:noMultiLvlLbl val="0"/>
      </c:catAx>
      <c:valAx>
        <c:axId val="1836084383"/>
        <c:scaling>
          <c:orientation val="minMax"/>
        </c:scaling>
        <c:delete val="1"/>
        <c:axPos val="b"/>
        <c:numFmt formatCode="General" sourceLinked="1"/>
        <c:majorTickMark val="out"/>
        <c:minorTickMark val="none"/>
        <c:tickLblPos val="nextTo"/>
        <c:crossAx val="1836077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sng" strike="noStrike" kern="1200" spc="0" baseline="0">
                <a:solidFill>
                  <a:schemeClr val="tx1">
                    <a:lumMod val="65000"/>
                    <a:lumOff val="35000"/>
                  </a:schemeClr>
                </a:solidFill>
                <a:latin typeface="Arial Black" panose="020B0A04020102020204" pitchFamily="34" charset="0"/>
                <a:ea typeface="+mn-ea"/>
                <a:cs typeface="+mn-cs"/>
              </a:defRPr>
            </a:pPr>
            <a:r>
              <a:rPr lang="en-IN" sz="1200" b="1" i="0" u="sng" strike="noStrike" kern="1200" spc="0" baseline="0">
                <a:solidFill>
                  <a:schemeClr val="tx1"/>
                </a:solidFill>
                <a:latin typeface="Arial Black" panose="020B0A04020102020204" pitchFamily="34" charset="0"/>
              </a:rPr>
              <a:t>Heart Risk - Women (2005-24) </a:t>
            </a:r>
          </a:p>
        </c:rich>
      </c:tx>
      <c:overlay val="0"/>
      <c:spPr>
        <a:noFill/>
        <a:ln>
          <a:noFill/>
        </a:ln>
        <a:effectLst/>
      </c:spPr>
      <c:txPr>
        <a:bodyPr rot="0" spcFirstLastPara="1" vertOverflow="ellipsis" vert="horz" wrap="square" anchor="ctr" anchorCtr="1"/>
        <a:lstStyle/>
        <a:p>
          <a:pPr>
            <a:defRPr sz="1200" b="0" i="0" u="sng"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lotArea>
      <c:layout/>
      <c:barChart>
        <c:barDir val="bar"/>
        <c:grouping val="clustered"/>
        <c:varyColors val="0"/>
        <c:ser>
          <c:idx val="0"/>
          <c:order val="0"/>
          <c:tx>
            <c:strRef>
              <c:f>Sheet1!$H$37</c:f>
              <c:strCache>
                <c:ptCount val="1"/>
                <c:pt idx="0">
                  <c:v>Children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Sheet1!$G$38:$G$40</c:f>
              <c:strCache>
                <c:ptCount val="3"/>
                <c:pt idx="0">
                  <c:v>Low</c:v>
                </c:pt>
                <c:pt idx="1">
                  <c:v>Medium</c:v>
                </c:pt>
                <c:pt idx="2">
                  <c:v>High</c:v>
                </c:pt>
              </c:strCache>
            </c:strRef>
          </c:cat>
          <c:val>
            <c:numRef>
              <c:f>Sheet1!$H$38:$H$40</c:f>
              <c:numCache>
                <c:formatCode>General</c:formatCode>
                <c:ptCount val="3"/>
                <c:pt idx="0">
                  <c:v>16</c:v>
                </c:pt>
                <c:pt idx="1">
                  <c:v>12</c:v>
                </c:pt>
                <c:pt idx="2">
                  <c:v>34</c:v>
                </c:pt>
              </c:numCache>
            </c:numRef>
          </c:val>
          <c:extLst>
            <c:ext xmlns:c16="http://schemas.microsoft.com/office/drawing/2014/chart" uri="{C3380CC4-5D6E-409C-BE32-E72D297353CC}">
              <c16:uniqueId val="{00000000-60A4-4A11-AB0D-0C70ABC5102B}"/>
            </c:ext>
          </c:extLst>
        </c:ser>
        <c:ser>
          <c:idx val="1"/>
          <c:order val="1"/>
          <c:tx>
            <c:strRef>
              <c:f>Sheet1!$I$37</c:f>
              <c:strCache>
                <c:ptCount val="1"/>
                <c:pt idx="0">
                  <c:v>Teens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Sheet1!$G$38:$G$40</c:f>
              <c:strCache>
                <c:ptCount val="3"/>
                <c:pt idx="0">
                  <c:v>Low</c:v>
                </c:pt>
                <c:pt idx="1">
                  <c:v>Medium</c:v>
                </c:pt>
                <c:pt idx="2">
                  <c:v>High</c:v>
                </c:pt>
              </c:strCache>
            </c:strRef>
          </c:cat>
          <c:val>
            <c:numRef>
              <c:f>Sheet1!$I$38:$I$40</c:f>
              <c:numCache>
                <c:formatCode>General</c:formatCode>
                <c:ptCount val="3"/>
                <c:pt idx="0">
                  <c:v>8</c:v>
                </c:pt>
                <c:pt idx="1">
                  <c:v>10</c:v>
                </c:pt>
                <c:pt idx="2">
                  <c:v>21</c:v>
                </c:pt>
              </c:numCache>
            </c:numRef>
          </c:val>
          <c:extLst>
            <c:ext xmlns:c16="http://schemas.microsoft.com/office/drawing/2014/chart" uri="{C3380CC4-5D6E-409C-BE32-E72D297353CC}">
              <c16:uniqueId val="{00000001-60A4-4A11-AB0D-0C70ABC5102B}"/>
            </c:ext>
          </c:extLst>
        </c:ser>
        <c:ser>
          <c:idx val="2"/>
          <c:order val="2"/>
          <c:tx>
            <c:strRef>
              <c:f>Sheet1!$J$37</c:f>
              <c:strCache>
                <c:ptCount val="1"/>
                <c:pt idx="0">
                  <c:v>Adults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Sheet1!$G$38:$G$40</c:f>
              <c:strCache>
                <c:ptCount val="3"/>
                <c:pt idx="0">
                  <c:v>Low</c:v>
                </c:pt>
                <c:pt idx="1">
                  <c:v>Medium</c:v>
                </c:pt>
                <c:pt idx="2">
                  <c:v>High</c:v>
                </c:pt>
              </c:strCache>
            </c:strRef>
          </c:cat>
          <c:val>
            <c:numRef>
              <c:f>Sheet1!$J$38:$J$40</c:f>
              <c:numCache>
                <c:formatCode>General</c:formatCode>
                <c:ptCount val="3"/>
                <c:pt idx="0">
                  <c:v>26</c:v>
                </c:pt>
                <c:pt idx="1">
                  <c:v>66</c:v>
                </c:pt>
                <c:pt idx="2">
                  <c:v>158</c:v>
                </c:pt>
              </c:numCache>
            </c:numRef>
          </c:val>
          <c:extLst>
            <c:ext xmlns:c16="http://schemas.microsoft.com/office/drawing/2014/chart" uri="{C3380CC4-5D6E-409C-BE32-E72D297353CC}">
              <c16:uniqueId val="{00000002-60A4-4A11-AB0D-0C70ABC5102B}"/>
            </c:ext>
          </c:extLst>
        </c:ser>
        <c:ser>
          <c:idx val="3"/>
          <c:order val="3"/>
          <c:tx>
            <c:strRef>
              <c:f>Sheet1!$K$37</c:f>
              <c:strCache>
                <c:ptCount val="1"/>
                <c:pt idx="0">
                  <c:v>Seniors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Sheet1!$G$38:$G$40</c:f>
              <c:strCache>
                <c:ptCount val="3"/>
                <c:pt idx="0">
                  <c:v>Low</c:v>
                </c:pt>
                <c:pt idx="1">
                  <c:v>Medium</c:v>
                </c:pt>
                <c:pt idx="2">
                  <c:v>High</c:v>
                </c:pt>
              </c:strCache>
            </c:strRef>
          </c:cat>
          <c:val>
            <c:numRef>
              <c:f>Sheet1!$K$38:$K$40</c:f>
              <c:numCache>
                <c:formatCode>General</c:formatCode>
                <c:ptCount val="3"/>
                <c:pt idx="0">
                  <c:v>10</c:v>
                </c:pt>
                <c:pt idx="1">
                  <c:v>39</c:v>
                </c:pt>
                <c:pt idx="2">
                  <c:v>113</c:v>
                </c:pt>
              </c:numCache>
            </c:numRef>
          </c:val>
          <c:extLst>
            <c:ext xmlns:c16="http://schemas.microsoft.com/office/drawing/2014/chart" uri="{C3380CC4-5D6E-409C-BE32-E72D297353CC}">
              <c16:uniqueId val="{00000003-60A4-4A11-AB0D-0C70ABC5102B}"/>
            </c:ext>
          </c:extLst>
        </c:ser>
        <c:dLbls>
          <c:dLblPos val="outEnd"/>
          <c:showLegendKey val="0"/>
          <c:showVal val="1"/>
          <c:showCatName val="0"/>
          <c:showSerName val="0"/>
          <c:showPercent val="0"/>
          <c:showBubbleSize val="0"/>
        </c:dLbls>
        <c:gapWidth val="182"/>
        <c:axId val="1858707343"/>
        <c:axId val="1858651183"/>
      </c:barChart>
      <c:catAx>
        <c:axId val="1858707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58651183"/>
        <c:crosses val="autoZero"/>
        <c:auto val="1"/>
        <c:lblAlgn val="ctr"/>
        <c:lblOffset val="100"/>
        <c:noMultiLvlLbl val="0"/>
      </c:catAx>
      <c:valAx>
        <c:axId val="1858651183"/>
        <c:scaling>
          <c:orientation val="minMax"/>
        </c:scaling>
        <c:delete val="1"/>
        <c:axPos val="b"/>
        <c:numFmt formatCode="General" sourceLinked="1"/>
        <c:majorTickMark val="none"/>
        <c:minorTickMark val="none"/>
        <c:tickLblPos val="nextTo"/>
        <c:crossAx val="1858707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sng" strike="noStrike" kern="1200" spc="0" baseline="0">
                <a:solidFill>
                  <a:schemeClr val="tx1"/>
                </a:solidFill>
                <a:latin typeface="Arial Black" panose="020B0A04020102020204" pitchFamily="34" charset="0"/>
                <a:ea typeface="+mn-ea"/>
                <a:cs typeface="+mn-cs"/>
              </a:defRPr>
            </a:pPr>
            <a:r>
              <a:rPr lang="en-IN" sz="1200" b="1" u="sng">
                <a:solidFill>
                  <a:schemeClr val="tx1"/>
                </a:solidFill>
                <a:latin typeface="Arial Black" panose="020B0A04020102020204" pitchFamily="34" charset="0"/>
              </a:rPr>
              <a:t>Insulin Resistant</a:t>
            </a:r>
            <a:r>
              <a:rPr lang="en-IN" sz="1200" b="1" u="sng" baseline="0">
                <a:solidFill>
                  <a:schemeClr val="tx1"/>
                </a:solidFill>
                <a:latin typeface="Arial Black" panose="020B0A04020102020204" pitchFamily="34" charset="0"/>
              </a:rPr>
              <a:t> Demographic</a:t>
            </a:r>
            <a:r>
              <a:rPr lang="en-IN" sz="1200" b="1" u="sng">
                <a:solidFill>
                  <a:schemeClr val="tx1"/>
                </a:solidFill>
                <a:latin typeface="Arial Black" panose="020B0A04020102020204" pitchFamily="34" charset="0"/>
              </a:rPr>
              <a:t> (2005-24)</a:t>
            </a:r>
          </a:p>
        </c:rich>
      </c:tx>
      <c:overlay val="0"/>
      <c:spPr>
        <a:noFill/>
        <a:ln>
          <a:noFill/>
        </a:ln>
        <a:effectLst/>
      </c:spPr>
      <c:txPr>
        <a:bodyPr rot="0" spcFirstLastPara="1" vertOverflow="ellipsis" vert="horz" wrap="square" anchor="ctr" anchorCtr="1"/>
        <a:lstStyle/>
        <a:p>
          <a:pPr>
            <a:defRPr sz="1200" b="1" i="0" u="sng" strike="noStrike" kern="1200" spc="0" baseline="0">
              <a:solidFill>
                <a:schemeClr val="tx1"/>
              </a:solidFill>
              <a:latin typeface="Arial Black" panose="020B0A04020102020204" pitchFamily="34" charset="0"/>
              <a:ea typeface="+mn-ea"/>
              <a:cs typeface="+mn-cs"/>
            </a:defRPr>
          </a:pPr>
          <a:endParaRPr lang="en-US"/>
        </a:p>
      </c:txPr>
    </c:title>
    <c:autoTitleDeleted val="0"/>
    <c:plotArea>
      <c:layout/>
      <c:barChart>
        <c:barDir val="col"/>
        <c:grouping val="clustered"/>
        <c:varyColors val="0"/>
        <c:ser>
          <c:idx val="0"/>
          <c:order val="0"/>
          <c:tx>
            <c:strRef>
              <c:f>Sheet1!$P$34</c:f>
              <c:strCache>
                <c:ptCount val="1"/>
                <c:pt idx="0">
                  <c:v>Children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Sheet1!$O$35:$O$36</c:f>
              <c:strCache>
                <c:ptCount val="2"/>
                <c:pt idx="0">
                  <c:v>Female </c:v>
                </c:pt>
                <c:pt idx="1">
                  <c:v>Male</c:v>
                </c:pt>
              </c:strCache>
            </c:strRef>
          </c:cat>
          <c:val>
            <c:numRef>
              <c:f>Sheet1!$P$35:$P$36</c:f>
              <c:numCache>
                <c:formatCode>General</c:formatCode>
                <c:ptCount val="2"/>
                <c:pt idx="0">
                  <c:v>8</c:v>
                </c:pt>
                <c:pt idx="1">
                  <c:v>10</c:v>
                </c:pt>
              </c:numCache>
            </c:numRef>
          </c:val>
          <c:extLst>
            <c:ext xmlns:c16="http://schemas.microsoft.com/office/drawing/2014/chart" uri="{C3380CC4-5D6E-409C-BE32-E72D297353CC}">
              <c16:uniqueId val="{00000000-F6CD-41F1-A178-71ECAF6522C9}"/>
            </c:ext>
          </c:extLst>
        </c:ser>
        <c:ser>
          <c:idx val="1"/>
          <c:order val="1"/>
          <c:tx>
            <c:strRef>
              <c:f>Sheet1!$Q$34</c:f>
              <c:strCache>
                <c:ptCount val="1"/>
                <c:pt idx="0">
                  <c:v>Teens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Sheet1!$O$35:$O$36</c:f>
              <c:strCache>
                <c:ptCount val="2"/>
                <c:pt idx="0">
                  <c:v>Female </c:v>
                </c:pt>
                <c:pt idx="1">
                  <c:v>Male</c:v>
                </c:pt>
              </c:strCache>
            </c:strRef>
          </c:cat>
          <c:val>
            <c:numRef>
              <c:f>Sheet1!$Q$35:$Q$36</c:f>
              <c:numCache>
                <c:formatCode>General</c:formatCode>
                <c:ptCount val="2"/>
                <c:pt idx="0">
                  <c:v>4</c:v>
                </c:pt>
                <c:pt idx="1">
                  <c:v>8</c:v>
                </c:pt>
              </c:numCache>
            </c:numRef>
          </c:val>
          <c:extLst>
            <c:ext xmlns:c16="http://schemas.microsoft.com/office/drawing/2014/chart" uri="{C3380CC4-5D6E-409C-BE32-E72D297353CC}">
              <c16:uniqueId val="{00000001-F6CD-41F1-A178-71ECAF6522C9}"/>
            </c:ext>
          </c:extLst>
        </c:ser>
        <c:ser>
          <c:idx val="2"/>
          <c:order val="2"/>
          <c:tx>
            <c:strRef>
              <c:f>Sheet1!$R$34</c:f>
              <c:strCache>
                <c:ptCount val="1"/>
                <c:pt idx="0">
                  <c:v>Adults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Sheet1!$O$35:$O$36</c:f>
              <c:strCache>
                <c:ptCount val="2"/>
                <c:pt idx="0">
                  <c:v>Female </c:v>
                </c:pt>
                <c:pt idx="1">
                  <c:v>Male</c:v>
                </c:pt>
              </c:strCache>
            </c:strRef>
          </c:cat>
          <c:val>
            <c:numRef>
              <c:f>Sheet1!$R$35:$R$36</c:f>
              <c:numCache>
                <c:formatCode>General</c:formatCode>
                <c:ptCount val="2"/>
                <c:pt idx="0">
                  <c:v>82</c:v>
                </c:pt>
                <c:pt idx="1">
                  <c:v>61</c:v>
                </c:pt>
              </c:numCache>
            </c:numRef>
          </c:val>
          <c:extLst>
            <c:ext xmlns:c16="http://schemas.microsoft.com/office/drawing/2014/chart" uri="{C3380CC4-5D6E-409C-BE32-E72D297353CC}">
              <c16:uniqueId val="{00000002-F6CD-41F1-A178-71ECAF6522C9}"/>
            </c:ext>
          </c:extLst>
        </c:ser>
        <c:ser>
          <c:idx val="3"/>
          <c:order val="3"/>
          <c:tx>
            <c:strRef>
              <c:f>Sheet1!$S$34</c:f>
              <c:strCache>
                <c:ptCount val="1"/>
                <c:pt idx="0">
                  <c:v>Seniors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Sheet1!$O$35:$O$36</c:f>
              <c:strCache>
                <c:ptCount val="2"/>
                <c:pt idx="0">
                  <c:v>Female </c:v>
                </c:pt>
                <c:pt idx="1">
                  <c:v>Male</c:v>
                </c:pt>
              </c:strCache>
            </c:strRef>
          </c:cat>
          <c:val>
            <c:numRef>
              <c:f>Sheet1!$S$35:$S$36</c:f>
              <c:numCache>
                <c:formatCode>General</c:formatCode>
                <c:ptCount val="2"/>
                <c:pt idx="0">
                  <c:v>63</c:v>
                </c:pt>
                <c:pt idx="1">
                  <c:v>61</c:v>
                </c:pt>
              </c:numCache>
            </c:numRef>
          </c:val>
          <c:extLst>
            <c:ext xmlns:c16="http://schemas.microsoft.com/office/drawing/2014/chart" uri="{C3380CC4-5D6E-409C-BE32-E72D297353CC}">
              <c16:uniqueId val="{00000003-F6CD-41F1-A178-71ECAF6522C9}"/>
            </c:ext>
          </c:extLst>
        </c:ser>
        <c:dLbls>
          <c:dLblPos val="outEnd"/>
          <c:showLegendKey val="0"/>
          <c:showVal val="1"/>
          <c:showCatName val="0"/>
          <c:showSerName val="0"/>
          <c:showPercent val="0"/>
          <c:showBubbleSize val="0"/>
        </c:dLbls>
        <c:gapWidth val="219"/>
        <c:overlap val="-27"/>
        <c:axId val="1978298975"/>
        <c:axId val="1978300415"/>
      </c:barChart>
      <c:catAx>
        <c:axId val="197829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8300415"/>
        <c:crosses val="autoZero"/>
        <c:auto val="1"/>
        <c:lblAlgn val="ctr"/>
        <c:lblOffset val="100"/>
        <c:noMultiLvlLbl val="0"/>
      </c:catAx>
      <c:valAx>
        <c:axId val="1978300415"/>
        <c:scaling>
          <c:orientation val="minMax"/>
        </c:scaling>
        <c:delete val="1"/>
        <c:axPos val="l"/>
        <c:numFmt formatCode="General" sourceLinked="1"/>
        <c:majorTickMark val="none"/>
        <c:minorTickMark val="none"/>
        <c:tickLblPos val="nextTo"/>
        <c:crossAx val="1978298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Adult</c:v>
                </c:pt>
              </c:strCache>
            </c:strRef>
          </c:tx>
          <c:spPr>
            <a:solidFill>
              <a:schemeClr val="accent1"/>
            </a:solidFill>
            <a:ln>
              <a:noFill/>
            </a:ln>
            <a:effectLst/>
          </c:spPr>
          <c:invertIfNegative val="0"/>
          <c:cat>
            <c:strRef>
              <c:f>Sheet3!$A$5:$A$7</c:f>
              <c:strCache>
                <c:ptCount val="2"/>
                <c:pt idx="0">
                  <c:v>Female</c:v>
                </c:pt>
                <c:pt idx="1">
                  <c:v>Male</c:v>
                </c:pt>
              </c:strCache>
            </c:strRef>
          </c:cat>
          <c:val>
            <c:numRef>
              <c:f>Sheet3!$B$5:$B$7</c:f>
              <c:numCache>
                <c:formatCode>General</c:formatCode>
                <c:ptCount val="2"/>
                <c:pt idx="0">
                  <c:v>7.3869199999999964</c:v>
                </c:pt>
                <c:pt idx="1">
                  <c:v>7.4700000000000006</c:v>
                </c:pt>
              </c:numCache>
            </c:numRef>
          </c:val>
          <c:extLst>
            <c:ext xmlns:c16="http://schemas.microsoft.com/office/drawing/2014/chart" uri="{C3380CC4-5D6E-409C-BE32-E72D297353CC}">
              <c16:uniqueId val="{00000000-A3E5-4C9C-A43C-9770C0818FBF}"/>
            </c:ext>
          </c:extLst>
        </c:ser>
        <c:ser>
          <c:idx val="1"/>
          <c:order val="1"/>
          <c:tx>
            <c:strRef>
              <c:f>Sheet3!$C$3:$C$4</c:f>
              <c:strCache>
                <c:ptCount val="1"/>
                <c:pt idx="0">
                  <c:v>Child</c:v>
                </c:pt>
              </c:strCache>
            </c:strRef>
          </c:tx>
          <c:spPr>
            <a:solidFill>
              <a:schemeClr val="accent2"/>
            </a:solidFill>
            <a:ln>
              <a:noFill/>
            </a:ln>
            <a:effectLst/>
          </c:spPr>
          <c:invertIfNegative val="0"/>
          <c:cat>
            <c:strRef>
              <c:f>Sheet3!$A$5:$A$7</c:f>
              <c:strCache>
                <c:ptCount val="2"/>
                <c:pt idx="0">
                  <c:v>Female</c:v>
                </c:pt>
                <c:pt idx="1">
                  <c:v>Male</c:v>
                </c:pt>
              </c:strCache>
            </c:strRef>
          </c:cat>
          <c:val>
            <c:numRef>
              <c:f>Sheet3!$C$5:$C$7</c:f>
              <c:numCache>
                <c:formatCode>General</c:formatCode>
                <c:ptCount val="2"/>
                <c:pt idx="0">
                  <c:v>6.6667741935483873</c:v>
                </c:pt>
                <c:pt idx="1">
                  <c:v>6.7216216216216216</c:v>
                </c:pt>
              </c:numCache>
            </c:numRef>
          </c:val>
          <c:extLst>
            <c:ext xmlns:c16="http://schemas.microsoft.com/office/drawing/2014/chart" uri="{C3380CC4-5D6E-409C-BE32-E72D297353CC}">
              <c16:uniqueId val="{00000001-A3E5-4C9C-A43C-9770C0818FBF}"/>
            </c:ext>
          </c:extLst>
        </c:ser>
        <c:ser>
          <c:idx val="2"/>
          <c:order val="2"/>
          <c:tx>
            <c:strRef>
              <c:f>Sheet3!$D$3:$D$4</c:f>
              <c:strCache>
                <c:ptCount val="1"/>
                <c:pt idx="0">
                  <c:v>Elderly</c:v>
                </c:pt>
              </c:strCache>
            </c:strRef>
          </c:tx>
          <c:spPr>
            <a:solidFill>
              <a:schemeClr val="accent3"/>
            </a:solidFill>
            <a:ln>
              <a:noFill/>
            </a:ln>
            <a:effectLst/>
          </c:spPr>
          <c:invertIfNegative val="0"/>
          <c:cat>
            <c:strRef>
              <c:f>Sheet3!$A$5:$A$7</c:f>
              <c:strCache>
                <c:ptCount val="2"/>
                <c:pt idx="0">
                  <c:v>Female</c:v>
                </c:pt>
                <c:pt idx="1">
                  <c:v>Male</c:v>
                </c:pt>
              </c:strCache>
            </c:strRef>
          </c:cat>
          <c:val>
            <c:numRef>
              <c:f>Sheet3!$D$5:$D$7</c:f>
              <c:numCache>
                <c:formatCode>General</c:formatCode>
                <c:ptCount val="2"/>
                <c:pt idx="0">
                  <c:v>8.1887037037037071</c:v>
                </c:pt>
                <c:pt idx="1">
                  <c:v>8.1366438356164394</c:v>
                </c:pt>
              </c:numCache>
            </c:numRef>
          </c:val>
          <c:extLst>
            <c:ext xmlns:c16="http://schemas.microsoft.com/office/drawing/2014/chart" uri="{C3380CC4-5D6E-409C-BE32-E72D297353CC}">
              <c16:uniqueId val="{00000002-A3E5-4C9C-A43C-9770C0818FBF}"/>
            </c:ext>
          </c:extLst>
        </c:ser>
        <c:ser>
          <c:idx val="3"/>
          <c:order val="3"/>
          <c:tx>
            <c:strRef>
              <c:f>Sheet3!$E$3:$E$4</c:f>
              <c:strCache>
                <c:ptCount val="1"/>
                <c:pt idx="0">
                  <c:v>Teen</c:v>
                </c:pt>
              </c:strCache>
            </c:strRef>
          </c:tx>
          <c:spPr>
            <a:solidFill>
              <a:schemeClr val="accent4"/>
            </a:solidFill>
            <a:ln>
              <a:noFill/>
            </a:ln>
            <a:effectLst/>
          </c:spPr>
          <c:invertIfNegative val="0"/>
          <c:cat>
            <c:strRef>
              <c:f>Sheet3!$A$5:$A$7</c:f>
              <c:strCache>
                <c:ptCount val="2"/>
                <c:pt idx="0">
                  <c:v>Female</c:v>
                </c:pt>
                <c:pt idx="1">
                  <c:v>Male</c:v>
                </c:pt>
              </c:strCache>
            </c:strRef>
          </c:cat>
          <c:val>
            <c:numRef>
              <c:f>Sheet3!$E$5:$E$7</c:f>
              <c:numCache>
                <c:formatCode>General</c:formatCode>
                <c:ptCount val="2"/>
                <c:pt idx="0">
                  <c:v>6.9887179487179472</c:v>
                </c:pt>
                <c:pt idx="1">
                  <c:v>7.1686538461538456</c:v>
                </c:pt>
              </c:numCache>
            </c:numRef>
          </c:val>
          <c:extLst>
            <c:ext xmlns:c16="http://schemas.microsoft.com/office/drawing/2014/chart" uri="{C3380CC4-5D6E-409C-BE32-E72D297353CC}">
              <c16:uniqueId val="{00000003-A3E5-4C9C-A43C-9770C0818FBF}"/>
            </c:ext>
          </c:extLst>
        </c:ser>
        <c:dLbls>
          <c:showLegendKey val="0"/>
          <c:showVal val="0"/>
          <c:showCatName val="0"/>
          <c:showSerName val="0"/>
          <c:showPercent val="0"/>
          <c:showBubbleSize val="0"/>
        </c:dLbls>
        <c:gapWidth val="219"/>
        <c:overlap val="-27"/>
        <c:axId val="716560048"/>
        <c:axId val="716560528"/>
      </c:barChart>
      <c:catAx>
        <c:axId val="71656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60528"/>
        <c:crosses val="autoZero"/>
        <c:auto val="1"/>
        <c:lblAlgn val="ctr"/>
        <c:lblOffset val="100"/>
        <c:noMultiLvlLbl val="0"/>
      </c:catAx>
      <c:valAx>
        <c:axId val="71656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60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[DASHBOARD-INDIA-Insulin_Resistance.xlsx]Sheet3!PivotTable2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Sheet3!$B$10:$B$11</c:f>
              <c:strCache>
                <c:ptCount val="1"/>
                <c:pt idx="0">
                  <c:v>Adult</c:v>
                </c:pt>
              </c:strCache>
            </c:strRef>
          </c:tx>
          <c:spPr>
            <a:solidFill>
              <a:schemeClr val="accent1"/>
            </a:solidFill>
            <a:ln>
              <a:noFill/>
            </a:ln>
            <a:effectLst/>
          </c:spPr>
          <c:invertIfNegative val="0"/>
          <c:cat>
            <c:strRef>
              <c:f>Sheet3!$A$12:$A$14</c:f>
              <c:strCache>
                <c:ptCount val="2"/>
                <c:pt idx="0">
                  <c:v>Female</c:v>
                </c:pt>
                <c:pt idx="1">
                  <c:v>Male</c:v>
                </c:pt>
              </c:strCache>
            </c:strRef>
          </c:cat>
          <c:val>
            <c:numRef>
              <c:f>Sheet3!$B$12:$B$14</c:f>
              <c:numCache>
                <c:formatCode>General</c:formatCode>
                <c:ptCount val="2"/>
                <c:pt idx="0">
                  <c:v>45.39879999999998</c:v>
                </c:pt>
                <c:pt idx="1">
                  <c:v>45.054511627906976</c:v>
                </c:pt>
              </c:numCache>
            </c:numRef>
          </c:val>
          <c:extLst>
            <c:ext xmlns:c16="http://schemas.microsoft.com/office/drawing/2014/chart" uri="{C3380CC4-5D6E-409C-BE32-E72D297353CC}">
              <c16:uniqueId val="{00000000-0AAF-41A3-A333-8052ED8CF281}"/>
            </c:ext>
          </c:extLst>
        </c:ser>
        <c:ser>
          <c:idx val="1"/>
          <c:order val="1"/>
          <c:tx>
            <c:strRef>
              <c:f>Sheet3!$C$10:$C$11</c:f>
              <c:strCache>
                <c:ptCount val="1"/>
                <c:pt idx="0">
                  <c:v>Child</c:v>
                </c:pt>
              </c:strCache>
            </c:strRef>
          </c:tx>
          <c:spPr>
            <a:solidFill>
              <a:schemeClr val="accent2"/>
            </a:solidFill>
            <a:ln>
              <a:noFill/>
            </a:ln>
            <a:effectLst/>
          </c:spPr>
          <c:invertIfNegative val="0"/>
          <c:cat>
            <c:strRef>
              <c:f>Sheet3!$A$12:$A$14</c:f>
              <c:strCache>
                <c:ptCount val="2"/>
                <c:pt idx="0">
                  <c:v>Female</c:v>
                </c:pt>
                <c:pt idx="1">
                  <c:v>Male</c:v>
                </c:pt>
              </c:strCache>
            </c:strRef>
          </c:cat>
          <c:val>
            <c:numRef>
              <c:f>Sheet3!$C$12:$C$14</c:f>
              <c:numCache>
                <c:formatCode>General</c:formatCode>
                <c:ptCount val="2"/>
                <c:pt idx="0">
                  <c:v>49.96290322580645</c:v>
                </c:pt>
                <c:pt idx="1">
                  <c:v>48.382702702702701</c:v>
                </c:pt>
              </c:numCache>
            </c:numRef>
          </c:val>
          <c:extLst>
            <c:ext xmlns:c16="http://schemas.microsoft.com/office/drawing/2014/chart" uri="{C3380CC4-5D6E-409C-BE32-E72D297353CC}">
              <c16:uniqueId val="{00000001-0AAF-41A3-A333-8052ED8CF281}"/>
            </c:ext>
          </c:extLst>
        </c:ser>
        <c:ser>
          <c:idx val="2"/>
          <c:order val="2"/>
          <c:tx>
            <c:strRef>
              <c:f>Sheet3!$D$10:$D$11</c:f>
              <c:strCache>
                <c:ptCount val="1"/>
                <c:pt idx="0">
                  <c:v>Elderly</c:v>
                </c:pt>
              </c:strCache>
            </c:strRef>
          </c:tx>
          <c:spPr>
            <a:solidFill>
              <a:schemeClr val="accent3"/>
            </a:solidFill>
            <a:ln>
              <a:noFill/>
            </a:ln>
            <a:effectLst/>
          </c:spPr>
          <c:invertIfNegative val="0"/>
          <c:cat>
            <c:strRef>
              <c:f>Sheet3!$A$12:$A$14</c:f>
              <c:strCache>
                <c:ptCount val="2"/>
                <c:pt idx="0">
                  <c:v>Female</c:v>
                </c:pt>
                <c:pt idx="1">
                  <c:v>Male</c:v>
                </c:pt>
              </c:strCache>
            </c:strRef>
          </c:cat>
          <c:val>
            <c:numRef>
              <c:f>Sheet3!$D$12:$D$14</c:f>
              <c:numCache>
                <c:formatCode>General</c:formatCode>
                <c:ptCount val="2"/>
                <c:pt idx="0">
                  <c:v>43.820370370370348</c:v>
                </c:pt>
                <c:pt idx="1">
                  <c:v>43.126575342465763</c:v>
                </c:pt>
              </c:numCache>
            </c:numRef>
          </c:val>
          <c:extLst>
            <c:ext xmlns:c16="http://schemas.microsoft.com/office/drawing/2014/chart" uri="{C3380CC4-5D6E-409C-BE32-E72D297353CC}">
              <c16:uniqueId val="{00000002-0AAF-41A3-A333-8052ED8CF281}"/>
            </c:ext>
          </c:extLst>
        </c:ser>
        <c:ser>
          <c:idx val="3"/>
          <c:order val="3"/>
          <c:tx>
            <c:strRef>
              <c:f>Sheet3!$E$10:$E$11</c:f>
              <c:strCache>
                <c:ptCount val="1"/>
                <c:pt idx="0">
                  <c:v>Teen</c:v>
                </c:pt>
              </c:strCache>
            </c:strRef>
          </c:tx>
          <c:spPr>
            <a:solidFill>
              <a:schemeClr val="accent4"/>
            </a:solidFill>
            <a:ln>
              <a:noFill/>
            </a:ln>
            <a:effectLst/>
          </c:spPr>
          <c:invertIfNegative val="0"/>
          <c:cat>
            <c:strRef>
              <c:f>Sheet3!$A$12:$A$14</c:f>
              <c:strCache>
                <c:ptCount val="2"/>
                <c:pt idx="0">
                  <c:v>Female</c:v>
                </c:pt>
                <c:pt idx="1">
                  <c:v>Male</c:v>
                </c:pt>
              </c:strCache>
            </c:strRef>
          </c:cat>
          <c:val>
            <c:numRef>
              <c:f>Sheet3!$E$12:$E$14</c:f>
              <c:numCache>
                <c:formatCode>General</c:formatCode>
                <c:ptCount val="2"/>
                <c:pt idx="0">
                  <c:v>47.275128205128198</c:v>
                </c:pt>
                <c:pt idx="1">
                  <c:v>50.684423076923082</c:v>
                </c:pt>
              </c:numCache>
            </c:numRef>
          </c:val>
          <c:extLst>
            <c:ext xmlns:c16="http://schemas.microsoft.com/office/drawing/2014/chart" uri="{C3380CC4-5D6E-409C-BE32-E72D297353CC}">
              <c16:uniqueId val="{00000003-0AAF-41A3-A333-8052ED8CF281}"/>
            </c:ext>
          </c:extLst>
        </c:ser>
        <c:dLbls>
          <c:showLegendKey val="0"/>
          <c:showVal val="0"/>
          <c:showCatName val="0"/>
          <c:showSerName val="0"/>
          <c:showPercent val="0"/>
          <c:showBubbleSize val="0"/>
        </c:dLbls>
        <c:gapWidth val="219"/>
        <c:overlap val="-27"/>
        <c:axId val="716590288"/>
        <c:axId val="716585968"/>
      </c:barChart>
      <c:catAx>
        <c:axId val="71659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85968"/>
        <c:crosses val="autoZero"/>
        <c:auto val="1"/>
        <c:lblAlgn val="ctr"/>
        <c:lblOffset val="100"/>
        <c:noMultiLvlLbl val="0"/>
      </c:catAx>
      <c:valAx>
        <c:axId val="716585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9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[DASHBOARD-INDIA-Insulin_Resistance.xlsx]Sheet3!PivotTable3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Sheet3!$B$17:$B$18</c:f>
              <c:strCache>
                <c:ptCount val="1"/>
                <c:pt idx="0">
                  <c:v>Adult</c:v>
                </c:pt>
              </c:strCache>
            </c:strRef>
          </c:tx>
          <c:spPr>
            <a:solidFill>
              <a:schemeClr val="accent1"/>
            </a:solidFill>
            <a:ln>
              <a:noFill/>
            </a:ln>
            <a:effectLst/>
          </c:spPr>
          <c:invertIfNegative val="0"/>
          <c:cat>
            <c:strRef>
              <c:f>Sheet3!$A$19:$A$21</c:f>
              <c:strCache>
                <c:ptCount val="2"/>
                <c:pt idx="0">
                  <c:v>Female</c:v>
                </c:pt>
                <c:pt idx="1">
                  <c:v>Male</c:v>
                </c:pt>
              </c:strCache>
            </c:strRef>
          </c:cat>
          <c:val>
            <c:numRef>
              <c:f>Sheet3!$B$19:$B$21</c:f>
              <c:numCache>
                <c:formatCode>General</c:formatCode>
                <c:ptCount val="2"/>
                <c:pt idx="0">
                  <c:v>153.55852000000004</c:v>
                </c:pt>
                <c:pt idx="1">
                  <c:v>149.77279069767437</c:v>
                </c:pt>
              </c:numCache>
            </c:numRef>
          </c:val>
          <c:extLst>
            <c:ext xmlns:c16="http://schemas.microsoft.com/office/drawing/2014/chart" uri="{C3380CC4-5D6E-409C-BE32-E72D297353CC}">
              <c16:uniqueId val="{00000000-18A4-471A-9935-210F284A0517}"/>
            </c:ext>
          </c:extLst>
        </c:ser>
        <c:ser>
          <c:idx val="1"/>
          <c:order val="1"/>
          <c:tx>
            <c:strRef>
              <c:f>Sheet3!$C$17:$C$18</c:f>
              <c:strCache>
                <c:ptCount val="1"/>
                <c:pt idx="0">
                  <c:v>Child</c:v>
                </c:pt>
              </c:strCache>
            </c:strRef>
          </c:tx>
          <c:spPr>
            <a:solidFill>
              <a:schemeClr val="accent2"/>
            </a:solidFill>
            <a:ln>
              <a:noFill/>
            </a:ln>
            <a:effectLst/>
          </c:spPr>
          <c:invertIfNegative val="0"/>
          <c:cat>
            <c:strRef>
              <c:f>Sheet3!$A$19:$A$21</c:f>
              <c:strCache>
                <c:ptCount val="2"/>
                <c:pt idx="0">
                  <c:v>Female</c:v>
                </c:pt>
                <c:pt idx="1">
                  <c:v>Male</c:v>
                </c:pt>
              </c:strCache>
            </c:strRef>
          </c:cat>
          <c:val>
            <c:numRef>
              <c:f>Sheet3!$C$19:$C$21</c:f>
              <c:numCache>
                <c:formatCode>General</c:formatCode>
                <c:ptCount val="2"/>
                <c:pt idx="0">
                  <c:v>145.18693548387094</c:v>
                </c:pt>
                <c:pt idx="1">
                  <c:v>145.254054054054</c:v>
                </c:pt>
              </c:numCache>
            </c:numRef>
          </c:val>
          <c:extLst>
            <c:ext xmlns:c16="http://schemas.microsoft.com/office/drawing/2014/chart" uri="{C3380CC4-5D6E-409C-BE32-E72D297353CC}">
              <c16:uniqueId val="{00000001-18A4-471A-9935-210F284A0517}"/>
            </c:ext>
          </c:extLst>
        </c:ser>
        <c:ser>
          <c:idx val="2"/>
          <c:order val="2"/>
          <c:tx>
            <c:strRef>
              <c:f>Sheet3!$D$17:$D$18</c:f>
              <c:strCache>
                <c:ptCount val="1"/>
                <c:pt idx="0">
                  <c:v>Elderly</c:v>
                </c:pt>
              </c:strCache>
            </c:strRef>
          </c:tx>
          <c:spPr>
            <a:solidFill>
              <a:schemeClr val="accent3"/>
            </a:solidFill>
            <a:ln>
              <a:noFill/>
            </a:ln>
            <a:effectLst/>
          </c:spPr>
          <c:invertIfNegative val="0"/>
          <c:cat>
            <c:strRef>
              <c:f>Sheet3!$A$19:$A$21</c:f>
              <c:strCache>
                <c:ptCount val="2"/>
                <c:pt idx="0">
                  <c:v>Female</c:v>
                </c:pt>
                <c:pt idx="1">
                  <c:v>Male</c:v>
                </c:pt>
              </c:strCache>
            </c:strRef>
          </c:cat>
          <c:val>
            <c:numRef>
              <c:f>Sheet3!$D$19:$D$21</c:f>
              <c:numCache>
                <c:formatCode>General</c:formatCode>
                <c:ptCount val="2"/>
                <c:pt idx="0">
                  <c:v>160.83938271604941</c:v>
                </c:pt>
                <c:pt idx="1">
                  <c:v>153.48616438356166</c:v>
                </c:pt>
              </c:numCache>
            </c:numRef>
          </c:val>
          <c:extLst>
            <c:ext xmlns:c16="http://schemas.microsoft.com/office/drawing/2014/chart" uri="{C3380CC4-5D6E-409C-BE32-E72D297353CC}">
              <c16:uniqueId val="{00000002-18A4-471A-9935-210F284A0517}"/>
            </c:ext>
          </c:extLst>
        </c:ser>
        <c:ser>
          <c:idx val="3"/>
          <c:order val="3"/>
          <c:tx>
            <c:strRef>
              <c:f>Sheet3!$E$17:$E$18</c:f>
              <c:strCache>
                <c:ptCount val="1"/>
                <c:pt idx="0">
                  <c:v>Teen</c:v>
                </c:pt>
              </c:strCache>
            </c:strRef>
          </c:tx>
          <c:spPr>
            <a:solidFill>
              <a:schemeClr val="accent4"/>
            </a:solidFill>
            <a:ln>
              <a:noFill/>
            </a:ln>
            <a:effectLst/>
          </c:spPr>
          <c:invertIfNegative val="0"/>
          <c:cat>
            <c:strRef>
              <c:f>Sheet3!$A$19:$A$21</c:f>
              <c:strCache>
                <c:ptCount val="2"/>
                <c:pt idx="0">
                  <c:v>Female</c:v>
                </c:pt>
                <c:pt idx="1">
                  <c:v>Male</c:v>
                </c:pt>
              </c:strCache>
            </c:strRef>
          </c:cat>
          <c:val>
            <c:numRef>
              <c:f>Sheet3!$E$19:$E$21</c:f>
              <c:numCache>
                <c:formatCode>General</c:formatCode>
                <c:ptCount val="2"/>
                <c:pt idx="0">
                  <c:v>143.28358974358972</c:v>
                </c:pt>
                <c:pt idx="1">
                  <c:v>143.90769230769234</c:v>
                </c:pt>
              </c:numCache>
            </c:numRef>
          </c:val>
          <c:extLst>
            <c:ext xmlns:c16="http://schemas.microsoft.com/office/drawing/2014/chart" uri="{C3380CC4-5D6E-409C-BE32-E72D297353CC}">
              <c16:uniqueId val="{00000003-18A4-471A-9935-210F284A0517}"/>
            </c:ext>
          </c:extLst>
        </c:ser>
        <c:dLbls>
          <c:showLegendKey val="0"/>
          <c:showVal val="0"/>
          <c:showCatName val="0"/>
          <c:showSerName val="0"/>
          <c:showPercent val="0"/>
          <c:showBubbleSize val="0"/>
        </c:dLbls>
        <c:gapWidth val="219"/>
        <c:overlap val="-27"/>
        <c:axId val="716599888"/>
        <c:axId val="716604688"/>
      </c:barChart>
      <c:catAx>
        <c:axId val="71659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604688"/>
        <c:crosses val="autoZero"/>
        <c:auto val="1"/>
        <c:lblAlgn val="ctr"/>
        <c:lblOffset val="100"/>
        <c:noMultiLvlLbl val="0"/>
      </c:catAx>
      <c:valAx>
        <c:axId val="716604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59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[DASHBOARD-INDIA-Insulin_Resistance.xlsx]Sheet3!PivotTable4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Sheet3!$B$24:$B$25</c:f>
              <c:strCache>
                <c:ptCount val="1"/>
                <c:pt idx="0">
                  <c:v>Adult</c:v>
                </c:pt>
              </c:strCache>
            </c:strRef>
          </c:tx>
          <c:spPr>
            <a:solidFill>
              <a:schemeClr val="accent1"/>
            </a:solidFill>
            <a:ln>
              <a:noFill/>
            </a:ln>
            <a:effectLst/>
          </c:spPr>
          <c:invertIfNegative val="0"/>
          <c:cat>
            <c:strRef>
              <c:f>Sheet3!$A$26:$A$28</c:f>
              <c:strCache>
                <c:ptCount val="2"/>
                <c:pt idx="0">
                  <c:v>Female</c:v>
                </c:pt>
                <c:pt idx="1">
                  <c:v>Male</c:v>
                </c:pt>
              </c:strCache>
            </c:strRef>
          </c:cat>
          <c:val>
            <c:numRef>
              <c:f>Sheet3!$B$26:$B$28</c:f>
              <c:numCache>
                <c:formatCode>General</c:formatCode>
                <c:ptCount val="2"/>
                <c:pt idx="0">
                  <c:v>183.91707999999997</c:v>
                </c:pt>
                <c:pt idx="1">
                  <c:v>192.10483720930242</c:v>
                </c:pt>
              </c:numCache>
            </c:numRef>
          </c:val>
          <c:extLst>
            <c:ext xmlns:c16="http://schemas.microsoft.com/office/drawing/2014/chart" uri="{C3380CC4-5D6E-409C-BE32-E72D297353CC}">
              <c16:uniqueId val="{00000000-D329-4777-80F3-7A25162DFBF3}"/>
            </c:ext>
          </c:extLst>
        </c:ser>
        <c:ser>
          <c:idx val="1"/>
          <c:order val="1"/>
          <c:tx>
            <c:strRef>
              <c:f>Sheet3!$C$24:$C$25</c:f>
              <c:strCache>
                <c:ptCount val="1"/>
                <c:pt idx="0">
                  <c:v>Child</c:v>
                </c:pt>
              </c:strCache>
            </c:strRef>
          </c:tx>
          <c:spPr>
            <a:solidFill>
              <a:schemeClr val="accent2"/>
            </a:solidFill>
            <a:ln>
              <a:noFill/>
            </a:ln>
            <a:effectLst/>
          </c:spPr>
          <c:invertIfNegative val="0"/>
          <c:cat>
            <c:strRef>
              <c:f>Sheet3!$A$26:$A$28</c:f>
              <c:strCache>
                <c:ptCount val="2"/>
                <c:pt idx="0">
                  <c:v>Female</c:v>
                </c:pt>
                <c:pt idx="1">
                  <c:v>Male</c:v>
                </c:pt>
              </c:strCache>
            </c:strRef>
          </c:cat>
          <c:val>
            <c:numRef>
              <c:f>Sheet3!$C$26:$C$28</c:f>
              <c:numCache>
                <c:formatCode>General</c:formatCode>
                <c:ptCount val="2"/>
                <c:pt idx="0">
                  <c:v>167.17854838709684</c:v>
                </c:pt>
                <c:pt idx="1">
                  <c:v>176.02256756756751</c:v>
                </c:pt>
              </c:numCache>
            </c:numRef>
          </c:val>
          <c:extLst>
            <c:ext xmlns:c16="http://schemas.microsoft.com/office/drawing/2014/chart" uri="{C3380CC4-5D6E-409C-BE32-E72D297353CC}">
              <c16:uniqueId val="{00000001-D329-4777-80F3-7A25162DFBF3}"/>
            </c:ext>
          </c:extLst>
        </c:ser>
        <c:ser>
          <c:idx val="2"/>
          <c:order val="2"/>
          <c:tx>
            <c:strRef>
              <c:f>Sheet3!$D$24:$D$25</c:f>
              <c:strCache>
                <c:ptCount val="1"/>
                <c:pt idx="0">
                  <c:v>Elderly</c:v>
                </c:pt>
              </c:strCache>
            </c:strRef>
          </c:tx>
          <c:spPr>
            <a:solidFill>
              <a:schemeClr val="accent3"/>
            </a:solidFill>
            <a:ln>
              <a:noFill/>
            </a:ln>
            <a:effectLst/>
          </c:spPr>
          <c:invertIfNegative val="0"/>
          <c:cat>
            <c:strRef>
              <c:f>Sheet3!$A$26:$A$28</c:f>
              <c:strCache>
                <c:ptCount val="2"/>
                <c:pt idx="0">
                  <c:v>Female</c:v>
                </c:pt>
                <c:pt idx="1">
                  <c:v>Male</c:v>
                </c:pt>
              </c:strCache>
            </c:strRef>
          </c:cat>
          <c:val>
            <c:numRef>
              <c:f>Sheet3!$D$26:$D$28</c:f>
              <c:numCache>
                <c:formatCode>General</c:formatCode>
                <c:ptCount val="2"/>
                <c:pt idx="0">
                  <c:v>197.93938271604938</c:v>
                </c:pt>
                <c:pt idx="1">
                  <c:v>193.47342465753425</c:v>
                </c:pt>
              </c:numCache>
            </c:numRef>
          </c:val>
          <c:extLst>
            <c:ext xmlns:c16="http://schemas.microsoft.com/office/drawing/2014/chart" uri="{C3380CC4-5D6E-409C-BE32-E72D297353CC}">
              <c16:uniqueId val="{00000002-D329-4777-80F3-7A25162DFBF3}"/>
            </c:ext>
          </c:extLst>
        </c:ser>
        <c:ser>
          <c:idx val="3"/>
          <c:order val="3"/>
          <c:tx>
            <c:strRef>
              <c:f>Sheet3!$E$24:$E$25</c:f>
              <c:strCache>
                <c:ptCount val="1"/>
                <c:pt idx="0">
                  <c:v>Teen</c:v>
                </c:pt>
              </c:strCache>
            </c:strRef>
          </c:tx>
          <c:spPr>
            <a:solidFill>
              <a:schemeClr val="accent4"/>
            </a:solidFill>
            <a:ln>
              <a:noFill/>
            </a:ln>
            <a:effectLst/>
          </c:spPr>
          <c:invertIfNegative val="0"/>
          <c:cat>
            <c:strRef>
              <c:f>Sheet3!$A$26:$A$28</c:f>
              <c:strCache>
                <c:ptCount val="2"/>
                <c:pt idx="0">
                  <c:v>Female</c:v>
                </c:pt>
                <c:pt idx="1">
                  <c:v>Male</c:v>
                </c:pt>
              </c:strCache>
            </c:strRef>
          </c:cat>
          <c:val>
            <c:numRef>
              <c:f>Sheet3!$E$26:$E$28</c:f>
              <c:numCache>
                <c:formatCode>General</c:formatCode>
                <c:ptCount val="2"/>
                <c:pt idx="0">
                  <c:v>173.26179487179488</c:v>
                </c:pt>
                <c:pt idx="1">
                  <c:v>182.28596153846149</c:v>
                </c:pt>
              </c:numCache>
            </c:numRef>
          </c:val>
          <c:extLst>
            <c:ext xmlns:c16="http://schemas.microsoft.com/office/drawing/2014/chart" uri="{C3380CC4-5D6E-409C-BE32-E72D297353CC}">
              <c16:uniqueId val="{00000003-D329-4777-80F3-7A25162DFBF3}"/>
            </c:ext>
          </c:extLst>
        </c:ser>
        <c:dLbls>
          <c:showLegendKey val="0"/>
          <c:showVal val="0"/>
          <c:showCatName val="0"/>
          <c:showSerName val="0"/>
          <c:showPercent val="0"/>
          <c:showBubbleSize val="0"/>
        </c:dLbls>
        <c:gapWidth val="219"/>
        <c:overlap val="-27"/>
        <c:axId val="487490592"/>
        <c:axId val="487489632"/>
      </c:barChart>
      <c:catAx>
        <c:axId val="48749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489632"/>
        <c:crosses val="autoZero"/>
        <c:auto val="1"/>
        <c:lblAlgn val="ctr"/>
        <c:lblOffset val="100"/>
        <c:noMultiLvlLbl val="0"/>
      </c:catAx>
      <c:valAx>
        <c:axId val="487489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490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[DASHBOARD-INDIA-Insulin_Resistance.xlsx]Sheet3!PivotTable5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Sheet3!$B$32:$B$33</c:f>
              <c:strCache>
                <c:ptCount val="1"/>
                <c:pt idx="0">
                  <c:v>Adult</c:v>
                </c:pt>
              </c:strCache>
            </c:strRef>
          </c:tx>
          <c:spPr>
            <a:solidFill>
              <a:schemeClr val="accent1"/>
            </a:solidFill>
            <a:ln>
              <a:noFill/>
            </a:ln>
            <a:effectLst/>
          </c:spPr>
          <c:invertIfNegative val="0"/>
          <c:cat>
            <c:strRef>
              <c:f>Sheet3!$A$34:$A$36</c:f>
              <c:strCache>
                <c:ptCount val="2"/>
                <c:pt idx="0">
                  <c:v>Female</c:v>
                </c:pt>
                <c:pt idx="1">
                  <c:v>Male</c:v>
                </c:pt>
              </c:strCache>
            </c:strRef>
          </c:cat>
          <c:val>
            <c:numRef>
              <c:f>Sheet3!$B$34:$B$36</c:f>
              <c:numCache>
                <c:formatCode>General</c:formatCode>
                <c:ptCount val="2"/>
                <c:pt idx="0">
                  <c:v>4.3176400000000008</c:v>
                </c:pt>
                <c:pt idx="1">
                  <c:v>4.5092093023255835</c:v>
                </c:pt>
              </c:numCache>
            </c:numRef>
          </c:val>
          <c:extLst>
            <c:ext xmlns:c16="http://schemas.microsoft.com/office/drawing/2014/chart" uri="{C3380CC4-5D6E-409C-BE32-E72D297353CC}">
              <c16:uniqueId val="{00000000-88F5-48EC-88A5-A5E727FF5BE8}"/>
            </c:ext>
          </c:extLst>
        </c:ser>
        <c:ser>
          <c:idx val="1"/>
          <c:order val="1"/>
          <c:tx>
            <c:strRef>
              <c:f>Sheet3!$C$32:$C$33</c:f>
              <c:strCache>
                <c:ptCount val="1"/>
                <c:pt idx="0">
                  <c:v>Child</c:v>
                </c:pt>
              </c:strCache>
            </c:strRef>
          </c:tx>
          <c:spPr>
            <a:solidFill>
              <a:schemeClr val="accent2"/>
            </a:solidFill>
            <a:ln>
              <a:noFill/>
            </a:ln>
            <a:effectLst/>
          </c:spPr>
          <c:invertIfNegative val="0"/>
          <c:cat>
            <c:strRef>
              <c:f>Sheet3!$A$34:$A$36</c:f>
              <c:strCache>
                <c:ptCount val="2"/>
                <c:pt idx="0">
                  <c:v>Female</c:v>
                </c:pt>
                <c:pt idx="1">
                  <c:v>Male</c:v>
                </c:pt>
              </c:strCache>
            </c:strRef>
          </c:cat>
          <c:val>
            <c:numRef>
              <c:f>Sheet3!$C$34:$C$36</c:f>
              <c:numCache>
                <c:formatCode>General</c:formatCode>
                <c:ptCount val="2"/>
                <c:pt idx="0">
                  <c:v>3.506612903225808</c:v>
                </c:pt>
                <c:pt idx="1">
                  <c:v>3.8722972972972989</c:v>
                </c:pt>
              </c:numCache>
            </c:numRef>
          </c:val>
          <c:extLst>
            <c:ext xmlns:c16="http://schemas.microsoft.com/office/drawing/2014/chart" uri="{C3380CC4-5D6E-409C-BE32-E72D297353CC}">
              <c16:uniqueId val="{00000001-88F5-48EC-88A5-A5E727FF5BE8}"/>
            </c:ext>
          </c:extLst>
        </c:ser>
        <c:ser>
          <c:idx val="2"/>
          <c:order val="2"/>
          <c:tx>
            <c:strRef>
              <c:f>Sheet3!$D$32:$D$33</c:f>
              <c:strCache>
                <c:ptCount val="1"/>
                <c:pt idx="0">
                  <c:v>Elderly</c:v>
                </c:pt>
              </c:strCache>
            </c:strRef>
          </c:tx>
          <c:spPr>
            <a:solidFill>
              <a:schemeClr val="accent3"/>
            </a:solidFill>
            <a:ln>
              <a:noFill/>
            </a:ln>
            <a:effectLst/>
          </c:spPr>
          <c:invertIfNegative val="0"/>
          <c:cat>
            <c:strRef>
              <c:f>Sheet3!$A$34:$A$36</c:f>
              <c:strCache>
                <c:ptCount val="2"/>
                <c:pt idx="0">
                  <c:v>Female</c:v>
                </c:pt>
                <c:pt idx="1">
                  <c:v>Male</c:v>
                </c:pt>
              </c:strCache>
            </c:strRef>
          </c:cat>
          <c:val>
            <c:numRef>
              <c:f>Sheet3!$D$34:$D$36</c:f>
              <c:numCache>
                <c:formatCode>General</c:formatCode>
                <c:ptCount val="2"/>
                <c:pt idx="0">
                  <c:v>4.960308641975308</c:v>
                </c:pt>
                <c:pt idx="1">
                  <c:v>4.6954109589041098</c:v>
                </c:pt>
              </c:numCache>
            </c:numRef>
          </c:val>
          <c:extLst>
            <c:ext xmlns:c16="http://schemas.microsoft.com/office/drawing/2014/chart" uri="{C3380CC4-5D6E-409C-BE32-E72D297353CC}">
              <c16:uniqueId val="{00000002-88F5-48EC-88A5-A5E727FF5BE8}"/>
            </c:ext>
          </c:extLst>
        </c:ser>
        <c:ser>
          <c:idx val="3"/>
          <c:order val="3"/>
          <c:tx>
            <c:strRef>
              <c:f>Sheet3!$E$32:$E$33</c:f>
              <c:strCache>
                <c:ptCount val="1"/>
                <c:pt idx="0">
                  <c:v>Teen</c:v>
                </c:pt>
              </c:strCache>
            </c:strRef>
          </c:tx>
          <c:spPr>
            <a:solidFill>
              <a:schemeClr val="accent4"/>
            </a:solidFill>
            <a:ln>
              <a:noFill/>
            </a:ln>
            <a:effectLst/>
          </c:spPr>
          <c:invertIfNegative val="0"/>
          <c:cat>
            <c:strRef>
              <c:f>Sheet3!$A$34:$A$36</c:f>
              <c:strCache>
                <c:ptCount val="2"/>
                <c:pt idx="0">
                  <c:v>Female</c:v>
                </c:pt>
                <c:pt idx="1">
                  <c:v>Male</c:v>
                </c:pt>
              </c:strCache>
            </c:strRef>
          </c:cat>
          <c:val>
            <c:numRef>
              <c:f>Sheet3!$E$34:$E$36</c:f>
              <c:numCache>
                <c:formatCode>General</c:formatCode>
                <c:ptCount val="2"/>
                <c:pt idx="0">
                  <c:v>3.7707692307692295</c:v>
                </c:pt>
                <c:pt idx="1">
                  <c:v>3.7167307692307707</c:v>
                </c:pt>
              </c:numCache>
            </c:numRef>
          </c:val>
          <c:extLst>
            <c:ext xmlns:c16="http://schemas.microsoft.com/office/drawing/2014/chart" uri="{C3380CC4-5D6E-409C-BE32-E72D297353CC}">
              <c16:uniqueId val="{00000003-88F5-48EC-88A5-A5E727FF5BE8}"/>
            </c:ext>
          </c:extLst>
        </c:ser>
        <c:dLbls>
          <c:showLegendKey val="0"/>
          <c:showVal val="0"/>
          <c:showCatName val="0"/>
          <c:showSerName val="0"/>
          <c:showPercent val="0"/>
          <c:showBubbleSize val="0"/>
        </c:dLbls>
        <c:gapWidth val="219"/>
        <c:overlap val="-27"/>
        <c:axId val="667223088"/>
        <c:axId val="667225008"/>
      </c:barChart>
      <c:catAx>
        <c:axId val="66722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25008"/>
        <c:crosses val="autoZero"/>
        <c:auto val="1"/>
        <c:lblAlgn val="ctr"/>
        <c:lblOffset val="100"/>
        <c:noMultiLvlLbl val="0"/>
      </c:catAx>
      <c:valAx>
        <c:axId val="66722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2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[DASHBOARD-INDIA-Insulin_Resistance.xlsx]Sheet3!PivotTable7</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Sheet3!$B$41:$B$42</c:f>
              <c:strCache>
                <c:ptCount val="1"/>
                <c:pt idx="0">
                  <c:v>Adult</c:v>
                </c:pt>
              </c:strCache>
            </c:strRef>
          </c:tx>
          <c:spPr>
            <a:solidFill>
              <a:schemeClr val="accent1"/>
            </a:solidFill>
            <a:ln>
              <a:noFill/>
            </a:ln>
            <a:effectLst/>
          </c:spPr>
          <c:invertIfNegative val="0"/>
          <c:cat>
            <c:strRef>
              <c:f>Sheet3!$A$43:$A$45</c:f>
              <c:strCache>
                <c:ptCount val="2"/>
                <c:pt idx="0">
                  <c:v>Female</c:v>
                </c:pt>
                <c:pt idx="1">
                  <c:v>Male</c:v>
                </c:pt>
              </c:strCache>
            </c:strRef>
          </c:cat>
          <c:val>
            <c:numRef>
              <c:f>Sheet3!$B$43:$B$45</c:f>
              <c:numCache>
                <c:formatCode>General</c:formatCode>
                <c:ptCount val="2"/>
                <c:pt idx="0">
                  <c:v>8.444640000000005</c:v>
                </c:pt>
                <c:pt idx="1">
                  <c:v>8.1504651162790687</c:v>
                </c:pt>
              </c:numCache>
            </c:numRef>
          </c:val>
          <c:extLst>
            <c:ext xmlns:c16="http://schemas.microsoft.com/office/drawing/2014/chart" uri="{C3380CC4-5D6E-409C-BE32-E72D297353CC}">
              <c16:uniqueId val="{00000000-B4C6-4B76-AD31-8B9203B37F1C}"/>
            </c:ext>
          </c:extLst>
        </c:ser>
        <c:ser>
          <c:idx val="1"/>
          <c:order val="1"/>
          <c:tx>
            <c:strRef>
              <c:f>Sheet3!$C$41:$C$42</c:f>
              <c:strCache>
                <c:ptCount val="1"/>
                <c:pt idx="0">
                  <c:v>Child</c:v>
                </c:pt>
              </c:strCache>
            </c:strRef>
          </c:tx>
          <c:spPr>
            <a:solidFill>
              <a:schemeClr val="accent2"/>
            </a:solidFill>
            <a:ln>
              <a:noFill/>
            </a:ln>
            <a:effectLst/>
          </c:spPr>
          <c:invertIfNegative val="0"/>
          <c:cat>
            <c:strRef>
              <c:f>Sheet3!$A$43:$A$45</c:f>
              <c:strCache>
                <c:ptCount val="2"/>
                <c:pt idx="0">
                  <c:v>Female</c:v>
                </c:pt>
                <c:pt idx="1">
                  <c:v>Male</c:v>
                </c:pt>
              </c:strCache>
            </c:strRef>
          </c:cat>
          <c:val>
            <c:numRef>
              <c:f>Sheet3!$C$43:$C$45</c:f>
              <c:numCache>
                <c:formatCode>General</c:formatCode>
                <c:ptCount val="2"/>
                <c:pt idx="0">
                  <c:v>6.7996774193548397</c:v>
                </c:pt>
                <c:pt idx="1">
                  <c:v>6.7958108108108117</c:v>
                </c:pt>
              </c:numCache>
            </c:numRef>
          </c:val>
          <c:extLst>
            <c:ext xmlns:c16="http://schemas.microsoft.com/office/drawing/2014/chart" uri="{C3380CC4-5D6E-409C-BE32-E72D297353CC}">
              <c16:uniqueId val="{00000001-B4C6-4B76-AD31-8B9203B37F1C}"/>
            </c:ext>
          </c:extLst>
        </c:ser>
        <c:ser>
          <c:idx val="2"/>
          <c:order val="2"/>
          <c:tx>
            <c:strRef>
              <c:f>Sheet3!$D$41:$D$42</c:f>
              <c:strCache>
                <c:ptCount val="1"/>
                <c:pt idx="0">
                  <c:v>Elderly</c:v>
                </c:pt>
              </c:strCache>
            </c:strRef>
          </c:tx>
          <c:spPr>
            <a:solidFill>
              <a:schemeClr val="accent3"/>
            </a:solidFill>
            <a:ln>
              <a:noFill/>
            </a:ln>
            <a:effectLst/>
          </c:spPr>
          <c:invertIfNegative val="0"/>
          <c:cat>
            <c:strRef>
              <c:f>Sheet3!$A$43:$A$45</c:f>
              <c:strCache>
                <c:ptCount val="2"/>
                <c:pt idx="0">
                  <c:v>Female</c:v>
                </c:pt>
                <c:pt idx="1">
                  <c:v>Male</c:v>
                </c:pt>
              </c:strCache>
            </c:strRef>
          </c:cat>
          <c:val>
            <c:numRef>
              <c:f>Sheet3!$D$43:$D$45</c:f>
              <c:numCache>
                <c:formatCode>General</c:formatCode>
                <c:ptCount val="2"/>
                <c:pt idx="0">
                  <c:v>9.6990123456790087</c:v>
                </c:pt>
                <c:pt idx="1">
                  <c:v>9.158150684931508</c:v>
                </c:pt>
              </c:numCache>
            </c:numRef>
          </c:val>
          <c:extLst>
            <c:ext xmlns:c16="http://schemas.microsoft.com/office/drawing/2014/chart" uri="{C3380CC4-5D6E-409C-BE32-E72D297353CC}">
              <c16:uniqueId val="{00000002-B4C6-4B76-AD31-8B9203B37F1C}"/>
            </c:ext>
          </c:extLst>
        </c:ser>
        <c:ser>
          <c:idx val="3"/>
          <c:order val="3"/>
          <c:tx>
            <c:strRef>
              <c:f>Sheet3!$E$41:$E$42</c:f>
              <c:strCache>
                <c:ptCount val="1"/>
                <c:pt idx="0">
                  <c:v>Teen</c:v>
                </c:pt>
              </c:strCache>
            </c:strRef>
          </c:tx>
          <c:spPr>
            <a:solidFill>
              <a:schemeClr val="accent4"/>
            </a:solidFill>
            <a:ln>
              <a:noFill/>
            </a:ln>
            <a:effectLst/>
          </c:spPr>
          <c:invertIfNegative val="0"/>
          <c:cat>
            <c:strRef>
              <c:f>Sheet3!$A$43:$A$45</c:f>
              <c:strCache>
                <c:ptCount val="2"/>
                <c:pt idx="0">
                  <c:v>Female</c:v>
                </c:pt>
                <c:pt idx="1">
                  <c:v>Male</c:v>
                </c:pt>
              </c:strCache>
            </c:strRef>
          </c:cat>
          <c:val>
            <c:numRef>
              <c:f>Sheet3!$E$43:$E$45</c:f>
              <c:numCache>
                <c:formatCode>General</c:formatCode>
                <c:ptCount val="2"/>
                <c:pt idx="0">
                  <c:v>6.956153846153847</c:v>
                </c:pt>
                <c:pt idx="1">
                  <c:v>7.3459615384615375</c:v>
                </c:pt>
              </c:numCache>
            </c:numRef>
          </c:val>
          <c:extLst>
            <c:ext xmlns:c16="http://schemas.microsoft.com/office/drawing/2014/chart" uri="{C3380CC4-5D6E-409C-BE32-E72D297353CC}">
              <c16:uniqueId val="{00000003-B4C6-4B76-AD31-8B9203B37F1C}"/>
            </c:ext>
          </c:extLst>
        </c:ser>
        <c:dLbls>
          <c:showLegendKey val="0"/>
          <c:showVal val="0"/>
          <c:showCatName val="0"/>
          <c:showSerName val="0"/>
          <c:showPercent val="0"/>
          <c:showBubbleSize val="0"/>
        </c:dLbls>
        <c:gapWidth val="219"/>
        <c:overlap val="-27"/>
        <c:axId val="823592592"/>
        <c:axId val="823602672"/>
      </c:barChart>
      <c:catAx>
        <c:axId val="82359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602672"/>
        <c:crosses val="autoZero"/>
        <c:auto val="1"/>
        <c:lblAlgn val="ctr"/>
        <c:lblOffset val="100"/>
        <c:noMultiLvlLbl val="0"/>
      </c:catAx>
      <c:valAx>
        <c:axId val="82360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59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[DASHBOARD-INDIA-Insulin_Resistance.xlsx]Sheet3!PivotTable8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Sheet3!$B$48:$B$49</c:f>
              <c:strCache>
                <c:ptCount val="1"/>
                <c:pt idx="0">
                  <c:v>Adult</c:v>
                </c:pt>
              </c:strCache>
            </c:strRef>
          </c:tx>
          <c:spPr>
            <a:solidFill>
              <a:schemeClr val="accent1"/>
            </a:solidFill>
            <a:ln>
              <a:noFill/>
            </a:ln>
            <a:effectLst/>
          </c:spPr>
          <c:invertIfNegative val="0"/>
          <c:cat>
            <c:strRef>
              <c:f>Sheet3!$A$50:$A$52</c:f>
              <c:strCache>
                <c:ptCount val="2"/>
                <c:pt idx="0">
                  <c:v>Female</c:v>
                </c:pt>
                <c:pt idx="1">
                  <c:v>Male</c:v>
                </c:pt>
              </c:strCache>
            </c:strRef>
          </c:cat>
          <c:val>
            <c:numRef>
              <c:f>Sheet3!$B$50:$B$52</c:f>
              <c:numCache>
                <c:formatCode>General</c:formatCode>
                <c:ptCount val="2"/>
                <c:pt idx="0">
                  <c:v>2.0639599999999998</c:v>
                </c:pt>
                <c:pt idx="1">
                  <c:v>1.9922790697674413</c:v>
                </c:pt>
              </c:numCache>
            </c:numRef>
          </c:val>
          <c:extLst>
            <c:ext xmlns:c16="http://schemas.microsoft.com/office/drawing/2014/chart" uri="{C3380CC4-5D6E-409C-BE32-E72D297353CC}">
              <c16:uniqueId val="{00000000-871C-4622-893D-C6F3EA5D8AAA}"/>
            </c:ext>
          </c:extLst>
        </c:ser>
        <c:ser>
          <c:idx val="1"/>
          <c:order val="1"/>
          <c:tx>
            <c:strRef>
              <c:f>Sheet3!$C$48:$C$49</c:f>
              <c:strCache>
                <c:ptCount val="1"/>
                <c:pt idx="0">
                  <c:v>Child</c:v>
                </c:pt>
              </c:strCache>
            </c:strRef>
          </c:tx>
          <c:spPr>
            <a:solidFill>
              <a:schemeClr val="accent2"/>
            </a:solidFill>
            <a:ln>
              <a:noFill/>
            </a:ln>
            <a:effectLst/>
          </c:spPr>
          <c:invertIfNegative val="0"/>
          <c:cat>
            <c:strRef>
              <c:f>Sheet3!$A$50:$A$52</c:f>
              <c:strCache>
                <c:ptCount val="2"/>
                <c:pt idx="0">
                  <c:v>Female</c:v>
                </c:pt>
                <c:pt idx="1">
                  <c:v>Male</c:v>
                </c:pt>
              </c:strCache>
            </c:strRef>
          </c:cat>
          <c:val>
            <c:numRef>
              <c:f>Sheet3!$C$50:$C$52</c:f>
              <c:numCache>
                <c:formatCode>General</c:formatCode>
                <c:ptCount val="2"/>
                <c:pt idx="0">
                  <c:v>1.6619354838709672</c:v>
                </c:pt>
                <c:pt idx="1">
                  <c:v>1.661081081081081</c:v>
                </c:pt>
              </c:numCache>
            </c:numRef>
          </c:val>
          <c:extLst>
            <c:ext xmlns:c16="http://schemas.microsoft.com/office/drawing/2014/chart" uri="{C3380CC4-5D6E-409C-BE32-E72D297353CC}">
              <c16:uniqueId val="{00000001-871C-4622-893D-C6F3EA5D8AAA}"/>
            </c:ext>
          </c:extLst>
        </c:ser>
        <c:ser>
          <c:idx val="2"/>
          <c:order val="2"/>
          <c:tx>
            <c:strRef>
              <c:f>Sheet3!$D$48:$D$49</c:f>
              <c:strCache>
                <c:ptCount val="1"/>
                <c:pt idx="0">
                  <c:v>Elderly</c:v>
                </c:pt>
              </c:strCache>
            </c:strRef>
          </c:tx>
          <c:spPr>
            <a:solidFill>
              <a:schemeClr val="accent3"/>
            </a:solidFill>
            <a:ln>
              <a:noFill/>
            </a:ln>
            <a:effectLst/>
          </c:spPr>
          <c:invertIfNegative val="0"/>
          <c:cat>
            <c:strRef>
              <c:f>Sheet3!$A$50:$A$52</c:f>
              <c:strCache>
                <c:ptCount val="2"/>
                <c:pt idx="0">
                  <c:v>Female</c:v>
                </c:pt>
                <c:pt idx="1">
                  <c:v>Male</c:v>
                </c:pt>
              </c:strCache>
            </c:strRef>
          </c:cat>
          <c:val>
            <c:numRef>
              <c:f>Sheet3!$D$50:$D$52</c:f>
              <c:numCache>
                <c:formatCode>General</c:formatCode>
                <c:ptCount val="2"/>
                <c:pt idx="0">
                  <c:v>2.3711728395061731</c:v>
                </c:pt>
                <c:pt idx="1">
                  <c:v>2.2387671232876722</c:v>
                </c:pt>
              </c:numCache>
            </c:numRef>
          </c:val>
          <c:extLst>
            <c:ext xmlns:c16="http://schemas.microsoft.com/office/drawing/2014/chart" uri="{C3380CC4-5D6E-409C-BE32-E72D297353CC}">
              <c16:uniqueId val="{00000002-871C-4622-893D-C6F3EA5D8AAA}"/>
            </c:ext>
          </c:extLst>
        </c:ser>
        <c:ser>
          <c:idx val="3"/>
          <c:order val="3"/>
          <c:tx>
            <c:strRef>
              <c:f>Sheet3!$E$48:$E$49</c:f>
              <c:strCache>
                <c:ptCount val="1"/>
                <c:pt idx="0">
                  <c:v>Teen</c:v>
                </c:pt>
              </c:strCache>
            </c:strRef>
          </c:tx>
          <c:spPr>
            <a:solidFill>
              <a:schemeClr val="accent4"/>
            </a:solidFill>
            <a:ln>
              <a:noFill/>
            </a:ln>
            <a:effectLst/>
          </c:spPr>
          <c:invertIfNegative val="0"/>
          <c:cat>
            <c:strRef>
              <c:f>Sheet3!$A$50:$A$52</c:f>
              <c:strCache>
                <c:ptCount val="2"/>
                <c:pt idx="0">
                  <c:v>Female</c:v>
                </c:pt>
                <c:pt idx="1">
                  <c:v>Male</c:v>
                </c:pt>
              </c:strCache>
            </c:strRef>
          </c:cat>
          <c:val>
            <c:numRef>
              <c:f>Sheet3!$E$50:$E$52</c:f>
              <c:numCache>
                <c:formatCode>General</c:formatCode>
                <c:ptCount val="2"/>
                <c:pt idx="0">
                  <c:v>1.6994871794871789</c:v>
                </c:pt>
                <c:pt idx="1">
                  <c:v>1.7951923076923075</c:v>
                </c:pt>
              </c:numCache>
            </c:numRef>
          </c:val>
          <c:extLst>
            <c:ext xmlns:c16="http://schemas.microsoft.com/office/drawing/2014/chart" uri="{C3380CC4-5D6E-409C-BE32-E72D297353CC}">
              <c16:uniqueId val="{00000003-871C-4622-893D-C6F3EA5D8AAA}"/>
            </c:ext>
          </c:extLst>
        </c:ser>
        <c:dLbls>
          <c:showLegendKey val="0"/>
          <c:showVal val="0"/>
          <c:showCatName val="0"/>
          <c:showSerName val="0"/>
          <c:showPercent val="0"/>
          <c:showBubbleSize val="0"/>
        </c:dLbls>
        <c:gapWidth val="219"/>
        <c:overlap val="-27"/>
        <c:axId val="674142208"/>
        <c:axId val="674159008"/>
      </c:barChart>
      <c:catAx>
        <c:axId val="67414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159008"/>
        <c:crosses val="autoZero"/>
        <c:auto val="1"/>
        <c:lblAlgn val="ctr"/>
        <c:lblOffset val="100"/>
        <c:noMultiLvlLbl val="0"/>
      </c:catAx>
      <c:valAx>
        <c:axId val="67415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14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[DASHBOARD-INDIA-Insulin_Resistance.xlsx]Sheet3!PivotTable9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Sheet3!$AC$2:$AC$3</c:f>
              <c:strCache>
                <c:ptCount val="1"/>
                <c:pt idx="0">
                  <c:v>Adult</c:v>
                </c:pt>
              </c:strCache>
            </c:strRef>
          </c:tx>
          <c:spPr>
            <a:solidFill>
              <a:schemeClr val="accent1"/>
            </a:solidFill>
            <a:ln>
              <a:noFill/>
            </a:ln>
            <a:effectLst/>
          </c:spPr>
          <c:invertIfNegative val="0"/>
          <c:cat>
            <c:strRef>
              <c:f>Sheet3!$AB$4:$AB$6</c:f>
              <c:strCache>
                <c:ptCount val="2"/>
                <c:pt idx="0">
                  <c:v>Female</c:v>
                </c:pt>
                <c:pt idx="1">
                  <c:v>Male</c:v>
                </c:pt>
              </c:strCache>
            </c:strRef>
          </c:cat>
          <c:val>
            <c:numRef>
              <c:f>Sheet3!$AC$4:$AC$6</c:f>
              <c:numCache>
                <c:formatCode>General</c:formatCode>
                <c:ptCount val="2"/>
                <c:pt idx="0">
                  <c:v>195</c:v>
                </c:pt>
                <c:pt idx="1">
                  <c:v>176</c:v>
                </c:pt>
              </c:numCache>
            </c:numRef>
          </c:val>
          <c:extLst>
            <c:ext xmlns:c16="http://schemas.microsoft.com/office/drawing/2014/chart" uri="{C3380CC4-5D6E-409C-BE32-E72D297353CC}">
              <c16:uniqueId val="{00000000-ACF1-48D1-8E77-68F60622DCA4}"/>
            </c:ext>
          </c:extLst>
        </c:ser>
        <c:ser>
          <c:idx val="1"/>
          <c:order val="1"/>
          <c:tx>
            <c:strRef>
              <c:f>Sheet3!$AD$2:$AD$3</c:f>
              <c:strCache>
                <c:ptCount val="1"/>
                <c:pt idx="0">
                  <c:v>Child</c:v>
                </c:pt>
              </c:strCache>
            </c:strRef>
          </c:tx>
          <c:spPr>
            <a:solidFill>
              <a:schemeClr val="accent2"/>
            </a:solidFill>
            <a:ln>
              <a:noFill/>
            </a:ln>
            <a:effectLst/>
          </c:spPr>
          <c:invertIfNegative val="0"/>
          <c:cat>
            <c:strRef>
              <c:f>Sheet3!$AB$4:$AB$6</c:f>
              <c:strCache>
                <c:ptCount val="2"/>
                <c:pt idx="0">
                  <c:v>Female</c:v>
                </c:pt>
                <c:pt idx="1">
                  <c:v>Male</c:v>
                </c:pt>
              </c:strCache>
            </c:strRef>
          </c:cat>
          <c:val>
            <c:numRef>
              <c:f>Sheet3!$AD$4:$AD$6</c:f>
              <c:numCache>
                <c:formatCode>General</c:formatCode>
                <c:ptCount val="2"/>
                <c:pt idx="0">
                  <c:v>34</c:v>
                </c:pt>
                <c:pt idx="1">
                  <c:v>46</c:v>
                </c:pt>
              </c:numCache>
            </c:numRef>
          </c:val>
          <c:extLst>
            <c:ext xmlns:c16="http://schemas.microsoft.com/office/drawing/2014/chart" uri="{C3380CC4-5D6E-409C-BE32-E72D297353CC}">
              <c16:uniqueId val="{00000001-ACF1-48D1-8E77-68F60622DCA4}"/>
            </c:ext>
          </c:extLst>
        </c:ser>
        <c:ser>
          <c:idx val="2"/>
          <c:order val="2"/>
          <c:tx>
            <c:strRef>
              <c:f>Sheet3!$AE$2:$AE$3</c:f>
              <c:strCache>
                <c:ptCount val="1"/>
                <c:pt idx="0">
                  <c:v>Elderly</c:v>
                </c:pt>
              </c:strCache>
            </c:strRef>
          </c:tx>
          <c:spPr>
            <a:solidFill>
              <a:schemeClr val="accent3"/>
            </a:solidFill>
            <a:ln>
              <a:noFill/>
            </a:ln>
            <a:effectLst/>
          </c:spPr>
          <c:invertIfNegative val="0"/>
          <c:cat>
            <c:strRef>
              <c:f>Sheet3!$AB$4:$AB$6</c:f>
              <c:strCache>
                <c:ptCount val="2"/>
                <c:pt idx="0">
                  <c:v>Female</c:v>
                </c:pt>
                <c:pt idx="1">
                  <c:v>Male</c:v>
                </c:pt>
              </c:strCache>
            </c:strRef>
          </c:cat>
          <c:val>
            <c:numRef>
              <c:f>Sheet3!$AE$4:$AE$6</c:f>
              <c:numCache>
                <c:formatCode>General</c:formatCode>
                <c:ptCount val="2"/>
                <c:pt idx="0">
                  <c:v>151</c:v>
                </c:pt>
                <c:pt idx="1">
                  <c:v>137</c:v>
                </c:pt>
              </c:numCache>
            </c:numRef>
          </c:val>
          <c:extLst>
            <c:ext xmlns:c16="http://schemas.microsoft.com/office/drawing/2014/chart" uri="{C3380CC4-5D6E-409C-BE32-E72D297353CC}">
              <c16:uniqueId val="{00000002-ACF1-48D1-8E77-68F60622DCA4}"/>
            </c:ext>
          </c:extLst>
        </c:ser>
        <c:ser>
          <c:idx val="3"/>
          <c:order val="3"/>
          <c:tx>
            <c:strRef>
              <c:f>Sheet3!$AF$2:$AF$3</c:f>
              <c:strCache>
                <c:ptCount val="1"/>
                <c:pt idx="0">
                  <c:v>Teen</c:v>
                </c:pt>
              </c:strCache>
            </c:strRef>
          </c:tx>
          <c:spPr>
            <a:solidFill>
              <a:schemeClr val="accent4"/>
            </a:solidFill>
            <a:ln>
              <a:noFill/>
            </a:ln>
            <a:effectLst/>
          </c:spPr>
          <c:invertIfNegative val="0"/>
          <c:cat>
            <c:strRef>
              <c:f>Sheet3!$AB$4:$AB$6</c:f>
              <c:strCache>
                <c:ptCount val="2"/>
                <c:pt idx="0">
                  <c:v>Female</c:v>
                </c:pt>
                <c:pt idx="1">
                  <c:v>Male</c:v>
                </c:pt>
              </c:strCache>
            </c:strRef>
          </c:cat>
          <c:val>
            <c:numRef>
              <c:f>Sheet3!$AF$4:$AF$6</c:f>
              <c:numCache>
                <c:formatCode>General</c:formatCode>
                <c:ptCount val="2"/>
                <c:pt idx="0">
                  <c:v>27</c:v>
                </c:pt>
                <c:pt idx="1">
                  <c:v>36</c:v>
                </c:pt>
              </c:numCache>
            </c:numRef>
          </c:val>
          <c:extLst>
            <c:ext xmlns:c16="http://schemas.microsoft.com/office/drawing/2014/chart" uri="{C3380CC4-5D6E-409C-BE32-E72D297353CC}">
              <c16:uniqueId val="{00000003-ACF1-48D1-8E77-68F60622DCA4}"/>
            </c:ext>
          </c:extLst>
        </c:ser>
        <c:dLbls>
          <c:showLegendKey val="0"/>
          <c:showVal val="0"/>
          <c:showCatName val="0"/>
          <c:showSerName val="0"/>
          <c:showPercent val="0"/>
          <c:showBubbleSize val="0"/>
        </c:dLbls>
        <c:gapWidth val="219"/>
        <c:overlap val="-27"/>
        <c:axId val="846197712"/>
        <c:axId val="846198192"/>
      </c:barChart>
      <c:catAx>
        <c:axId val="84619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198192"/>
        <c:crosses val="autoZero"/>
        <c:auto val="1"/>
        <c:lblAlgn val="ctr"/>
        <c:lblOffset val="100"/>
        <c:noMultiLvlLbl val="0"/>
      </c:catAx>
      <c:valAx>
        <c:axId val="84619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19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[DASHBOARD-INDIA-Insulin_Resistance.xlsx]Sheet3!PivotTable10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Sheet3!$AC$11:$AC$12</c:f>
              <c:strCache>
                <c:ptCount val="1"/>
                <c:pt idx="0">
                  <c:v>Adult</c:v>
                </c:pt>
              </c:strCache>
            </c:strRef>
          </c:tx>
          <c:spPr>
            <a:solidFill>
              <a:schemeClr val="accent1"/>
            </a:solidFill>
            <a:ln>
              <a:noFill/>
            </a:ln>
            <a:effectLst/>
          </c:spPr>
          <c:invertIfNegative val="0"/>
          <c:cat>
            <c:strRef>
              <c:f>Sheet3!$AB$13:$AB$15</c:f>
              <c:strCache>
                <c:ptCount val="2"/>
                <c:pt idx="0">
                  <c:v>Female</c:v>
                </c:pt>
                <c:pt idx="1">
                  <c:v>Male</c:v>
                </c:pt>
              </c:strCache>
            </c:strRef>
          </c:cat>
          <c:val>
            <c:numRef>
              <c:f>Sheet3!$AC$13:$AC$15</c:f>
              <c:numCache>
                <c:formatCode>General</c:formatCode>
                <c:ptCount val="2"/>
                <c:pt idx="0">
                  <c:v>82</c:v>
                </c:pt>
                <c:pt idx="1">
                  <c:v>61</c:v>
                </c:pt>
              </c:numCache>
            </c:numRef>
          </c:val>
          <c:extLst>
            <c:ext xmlns:c16="http://schemas.microsoft.com/office/drawing/2014/chart" uri="{C3380CC4-5D6E-409C-BE32-E72D297353CC}">
              <c16:uniqueId val="{00000000-8F4D-465B-9EC1-12AF28F11719}"/>
            </c:ext>
          </c:extLst>
        </c:ser>
        <c:ser>
          <c:idx val="1"/>
          <c:order val="1"/>
          <c:tx>
            <c:strRef>
              <c:f>Sheet3!$AD$11:$AD$12</c:f>
              <c:strCache>
                <c:ptCount val="1"/>
                <c:pt idx="0">
                  <c:v>Child</c:v>
                </c:pt>
              </c:strCache>
            </c:strRef>
          </c:tx>
          <c:spPr>
            <a:solidFill>
              <a:schemeClr val="accent2"/>
            </a:solidFill>
            <a:ln>
              <a:noFill/>
            </a:ln>
            <a:effectLst/>
          </c:spPr>
          <c:invertIfNegative val="0"/>
          <c:cat>
            <c:strRef>
              <c:f>Sheet3!$AB$13:$AB$15</c:f>
              <c:strCache>
                <c:ptCount val="2"/>
                <c:pt idx="0">
                  <c:v>Female</c:v>
                </c:pt>
                <c:pt idx="1">
                  <c:v>Male</c:v>
                </c:pt>
              </c:strCache>
            </c:strRef>
          </c:cat>
          <c:val>
            <c:numRef>
              <c:f>Sheet3!$AD$13:$AD$15</c:f>
              <c:numCache>
                <c:formatCode>General</c:formatCode>
                <c:ptCount val="2"/>
                <c:pt idx="0">
                  <c:v>8</c:v>
                </c:pt>
                <c:pt idx="1">
                  <c:v>10</c:v>
                </c:pt>
              </c:numCache>
            </c:numRef>
          </c:val>
          <c:extLst>
            <c:ext xmlns:c16="http://schemas.microsoft.com/office/drawing/2014/chart" uri="{C3380CC4-5D6E-409C-BE32-E72D297353CC}">
              <c16:uniqueId val="{00000001-8F4D-465B-9EC1-12AF28F11719}"/>
            </c:ext>
          </c:extLst>
        </c:ser>
        <c:ser>
          <c:idx val="2"/>
          <c:order val="2"/>
          <c:tx>
            <c:strRef>
              <c:f>Sheet3!$AE$11:$AE$12</c:f>
              <c:strCache>
                <c:ptCount val="1"/>
                <c:pt idx="0">
                  <c:v>Elderly</c:v>
                </c:pt>
              </c:strCache>
            </c:strRef>
          </c:tx>
          <c:spPr>
            <a:solidFill>
              <a:schemeClr val="accent3"/>
            </a:solidFill>
            <a:ln>
              <a:noFill/>
            </a:ln>
            <a:effectLst/>
          </c:spPr>
          <c:invertIfNegative val="0"/>
          <c:cat>
            <c:strRef>
              <c:f>Sheet3!$AB$13:$AB$15</c:f>
              <c:strCache>
                <c:ptCount val="2"/>
                <c:pt idx="0">
                  <c:v>Female</c:v>
                </c:pt>
                <c:pt idx="1">
                  <c:v>Male</c:v>
                </c:pt>
              </c:strCache>
            </c:strRef>
          </c:cat>
          <c:val>
            <c:numRef>
              <c:f>Sheet3!$AE$13:$AE$15</c:f>
              <c:numCache>
                <c:formatCode>General</c:formatCode>
                <c:ptCount val="2"/>
                <c:pt idx="0">
                  <c:v>63</c:v>
                </c:pt>
                <c:pt idx="1">
                  <c:v>61</c:v>
                </c:pt>
              </c:numCache>
            </c:numRef>
          </c:val>
          <c:extLst>
            <c:ext xmlns:c16="http://schemas.microsoft.com/office/drawing/2014/chart" uri="{C3380CC4-5D6E-409C-BE32-E72D297353CC}">
              <c16:uniqueId val="{00000002-8F4D-465B-9EC1-12AF28F11719}"/>
            </c:ext>
          </c:extLst>
        </c:ser>
        <c:ser>
          <c:idx val="3"/>
          <c:order val="3"/>
          <c:tx>
            <c:strRef>
              <c:f>Sheet3!$AF$11:$AF$12</c:f>
              <c:strCache>
                <c:ptCount val="1"/>
                <c:pt idx="0">
                  <c:v>Teen</c:v>
                </c:pt>
              </c:strCache>
            </c:strRef>
          </c:tx>
          <c:spPr>
            <a:solidFill>
              <a:schemeClr val="accent4"/>
            </a:solidFill>
            <a:ln>
              <a:noFill/>
            </a:ln>
            <a:effectLst/>
          </c:spPr>
          <c:invertIfNegative val="0"/>
          <c:cat>
            <c:strRef>
              <c:f>Sheet3!$AB$13:$AB$15</c:f>
              <c:strCache>
                <c:ptCount val="2"/>
                <c:pt idx="0">
                  <c:v>Female</c:v>
                </c:pt>
                <c:pt idx="1">
                  <c:v>Male</c:v>
                </c:pt>
              </c:strCache>
            </c:strRef>
          </c:cat>
          <c:val>
            <c:numRef>
              <c:f>Sheet3!$AF$13:$AF$15</c:f>
              <c:numCache>
                <c:formatCode>General</c:formatCode>
                <c:ptCount val="2"/>
                <c:pt idx="0">
                  <c:v>4</c:v>
                </c:pt>
                <c:pt idx="1">
                  <c:v>8</c:v>
                </c:pt>
              </c:numCache>
            </c:numRef>
          </c:val>
          <c:extLst>
            <c:ext xmlns:c16="http://schemas.microsoft.com/office/drawing/2014/chart" uri="{C3380CC4-5D6E-409C-BE32-E72D297353CC}">
              <c16:uniqueId val="{00000003-8F4D-465B-9EC1-12AF28F11719}"/>
            </c:ext>
          </c:extLst>
        </c:ser>
        <c:dLbls>
          <c:showLegendKey val="0"/>
          <c:showVal val="0"/>
          <c:showCatName val="0"/>
          <c:showSerName val="0"/>
          <c:showPercent val="0"/>
          <c:showBubbleSize val="0"/>
        </c:dLbls>
        <c:gapWidth val="219"/>
        <c:overlap val="-27"/>
        <c:axId val="846211632"/>
        <c:axId val="846212112"/>
      </c:barChart>
      <c:catAx>
        <c:axId val="846211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12112"/>
        <c:crosses val="autoZero"/>
        <c:auto val="1"/>
        <c:lblAlgn val="ctr"/>
        <c:lblOffset val="100"/>
        <c:noMultiLvlLbl val="0"/>
      </c:catAx>
      <c:valAx>
        <c:axId val="84621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211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Adult</c:v>
                </c:pt>
              </c:strCache>
            </c:strRef>
          </c:tx>
          <c:spPr>
            <a:solidFill>
              <a:schemeClr val="accent1"/>
            </a:solidFill>
            <a:ln>
              <a:noFill/>
            </a:ln>
            <a:effectLst/>
          </c:spPr>
          <c:invertIfNegative val="0"/>
          <c:cat>
            <c:strRef>
              <c:f>Sheet2!$A$5:$A$8</c:f>
              <c:strCache>
                <c:ptCount val="3"/>
                <c:pt idx="0">
                  <c:v>High</c:v>
                </c:pt>
                <c:pt idx="1">
                  <c:v>Low</c:v>
                </c:pt>
                <c:pt idx="2">
                  <c:v>Medium</c:v>
                </c:pt>
              </c:strCache>
            </c:strRef>
          </c:cat>
          <c:val>
            <c:numRef>
              <c:f>Sheet2!$B$5:$B$8</c:f>
              <c:numCache>
                <c:formatCode>General</c:formatCode>
                <c:ptCount val="3"/>
                <c:pt idx="0">
                  <c:v>139</c:v>
                </c:pt>
                <c:pt idx="1">
                  <c:v>28</c:v>
                </c:pt>
                <c:pt idx="2">
                  <c:v>48</c:v>
                </c:pt>
              </c:numCache>
            </c:numRef>
          </c:val>
          <c:extLst>
            <c:ext xmlns:c16="http://schemas.microsoft.com/office/drawing/2014/chart" uri="{C3380CC4-5D6E-409C-BE32-E72D297353CC}">
              <c16:uniqueId val="{00000000-FE8E-4E5C-961F-70FCD26C7083}"/>
            </c:ext>
          </c:extLst>
        </c:ser>
        <c:ser>
          <c:idx val="1"/>
          <c:order val="1"/>
          <c:tx>
            <c:strRef>
              <c:f>Sheet2!$C$3:$C$4</c:f>
              <c:strCache>
                <c:ptCount val="1"/>
                <c:pt idx="0">
                  <c:v>Child</c:v>
                </c:pt>
              </c:strCache>
            </c:strRef>
          </c:tx>
          <c:spPr>
            <a:solidFill>
              <a:schemeClr val="accent2"/>
            </a:solidFill>
            <a:ln>
              <a:noFill/>
            </a:ln>
            <a:effectLst/>
          </c:spPr>
          <c:invertIfNegative val="0"/>
          <c:cat>
            <c:strRef>
              <c:f>Sheet2!$A$5:$A$8</c:f>
              <c:strCache>
                <c:ptCount val="3"/>
                <c:pt idx="0">
                  <c:v>High</c:v>
                </c:pt>
                <c:pt idx="1">
                  <c:v>Low</c:v>
                </c:pt>
                <c:pt idx="2">
                  <c:v>Medium</c:v>
                </c:pt>
              </c:strCache>
            </c:strRef>
          </c:cat>
          <c:val>
            <c:numRef>
              <c:f>Sheet2!$C$5:$C$8</c:f>
              <c:numCache>
                <c:formatCode>General</c:formatCode>
                <c:ptCount val="3"/>
                <c:pt idx="0">
                  <c:v>33</c:v>
                </c:pt>
                <c:pt idx="1">
                  <c:v>21</c:v>
                </c:pt>
                <c:pt idx="2">
                  <c:v>20</c:v>
                </c:pt>
              </c:numCache>
            </c:numRef>
          </c:val>
          <c:extLst>
            <c:ext xmlns:c16="http://schemas.microsoft.com/office/drawing/2014/chart" uri="{C3380CC4-5D6E-409C-BE32-E72D297353CC}">
              <c16:uniqueId val="{00000001-FE8E-4E5C-961F-70FCD26C7083}"/>
            </c:ext>
          </c:extLst>
        </c:ser>
        <c:ser>
          <c:idx val="2"/>
          <c:order val="2"/>
          <c:tx>
            <c:strRef>
              <c:f>Sheet2!$D$3:$D$4</c:f>
              <c:strCache>
                <c:ptCount val="1"/>
                <c:pt idx="0">
                  <c:v>Elderly</c:v>
                </c:pt>
              </c:strCache>
            </c:strRef>
          </c:tx>
          <c:spPr>
            <a:solidFill>
              <a:schemeClr val="accent3"/>
            </a:solidFill>
            <a:ln>
              <a:noFill/>
            </a:ln>
            <a:effectLst/>
          </c:spPr>
          <c:invertIfNegative val="0"/>
          <c:cat>
            <c:strRef>
              <c:f>Sheet2!$A$5:$A$8</c:f>
              <c:strCache>
                <c:ptCount val="3"/>
                <c:pt idx="0">
                  <c:v>High</c:v>
                </c:pt>
                <c:pt idx="1">
                  <c:v>Low</c:v>
                </c:pt>
                <c:pt idx="2">
                  <c:v>Medium</c:v>
                </c:pt>
              </c:strCache>
            </c:strRef>
          </c:cat>
          <c:val>
            <c:numRef>
              <c:f>Sheet2!$D$5:$D$8</c:f>
              <c:numCache>
                <c:formatCode>General</c:formatCode>
                <c:ptCount val="3"/>
                <c:pt idx="0">
                  <c:v>100</c:v>
                </c:pt>
                <c:pt idx="1">
                  <c:v>16</c:v>
                </c:pt>
                <c:pt idx="2">
                  <c:v>30</c:v>
                </c:pt>
              </c:numCache>
            </c:numRef>
          </c:val>
          <c:extLst>
            <c:ext xmlns:c16="http://schemas.microsoft.com/office/drawing/2014/chart" uri="{C3380CC4-5D6E-409C-BE32-E72D297353CC}">
              <c16:uniqueId val="{00000002-FE8E-4E5C-961F-70FCD26C7083}"/>
            </c:ext>
          </c:extLst>
        </c:ser>
        <c:ser>
          <c:idx val="3"/>
          <c:order val="3"/>
          <c:tx>
            <c:strRef>
              <c:f>Sheet2!$E$3:$E$4</c:f>
              <c:strCache>
                <c:ptCount val="1"/>
                <c:pt idx="0">
                  <c:v>Teen</c:v>
                </c:pt>
              </c:strCache>
            </c:strRef>
          </c:tx>
          <c:spPr>
            <a:solidFill>
              <a:schemeClr val="accent4"/>
            </a:solidFill>
            <a:ln>
              <a:noFill/>
            </a:ln>
            <a:effectLst/>
          </c:spPr>
          <c:invertIfNegative val="0"/>
          <c:cat>
            <c:strRef>
              <c:f>Sheet2!$A$5:$A$8</c:f>
              <c:strCache>
                <c:ptCount val="3"/>
                <c:pt idx="0">
                  <c:v>High</c:v>
                </c:pt>
                <c:pt idx="1">
                  <c:v>Low</c:v>
                </c:pt>
                <c:pt idx="2">
                  <c:v>Medium</c:v>
                </c:pt>
              </c:strCache>
            </c:strRef>
          </c:cat>
          <c:val>
            <c:numRef>
              <c:f>Sheet2!$E$5:$E$8</c:f>
              <c:numCache>
                <c:formatCode>General</c:formatCode>
                <c:ptCount val="3"/>
                <c:pt idx="0">
                  <c:v>27</c:v>
                </c:pt>
                <c:pt idx="1">
                  <c:v>11</c:v>
                </c:pt>
                <c:pt idx="2">
                  <c:v>14</c:v>
                </c:pt>
              </c:numCache>
            </c:numRef>
          </c:val>
          <c:extLst>
            <c:ext xmlns:c16="http://schemas.microsoft.com/office/drawing/2014/chart" uri="{C3380CC4-5D6E-409C-BE32-E72D297353CC}">
              <c16:uniqueId val="{00000003-FE8E-4E5C-961F-70FCD26C7083}"/>
            </c:ext>
          </c:extLst>
        </c:ser>
        <c:dLbls>
          <c:showLegendKey val="0"/>
          <c:showVal val="0"/>
          <c:showCatName val="0"/>
          <c:showSerName val="0"/>
          <c:showPercent val="0"/>
          <c:showBubbleSize val="0"/>
        </c:dLbls>
        <c:gapWidth val="219"/>
        <c:overlap val="-27"/>
        <c:axId val="1240412208"/>
        <c:axId val="1240417968"/>
      </c:barChart>
      <c:catAx>
        <c:axId val="124041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17968"/>
        <c:crosses val="autoZero"/>
        <c:auto val="1"/>
        <c:lblAlgn val="ctr"/>
        <c:lblOffset val="100"/>
        <c:noMultiLvlLbl val="0"/>
      </c:catAx>
      <c:valAx>
        <c:axId val="1240417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41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[DASHBOARD-INDIA-Insulin_Resistance.xlsx]Sheet2!PivotTable2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Sheet2!$B$12:$B$13</c:f>
              <c:strCache>
                <c:ptCount val="1"/>
                <c:pt idx="0">
                  <c:v>Adult</c:v>
                </c:pt>
              </c:strCache>
            </c:strRef>
          </c:tx>
          <c:spPr>
            <a:solidFill>
              <a:schemeClr val="accent1"/>
            </a:solidFill>
            <a:ln>
              <a:noFill/>
            </a:ln>
            <a:effectLst/>
          </c:spPr>
          <c:invertIfNegative val="0"/>
          <c:cat>
            <c:strRef>
              <c:f>Sheet2!$A$14:$A$17</c:f>
              <c:strCache>
                <c:ptCount val="3"/>
                <c:pt idx="0">
                  <c:v>High</c:v>
                </c:pt>
                <c:pt idx="1">
                  <c:v>Low</c:v>
                </c:pt>
                <c:pt idx="2">
                  <c:v>Medium</c:v>
                </c:pt>
              </c:strCache>
            </c:strRef>
          </c:cat>
          <c:val>
            <c:numRef>
              <c:f>Sheet2!$B$14:$B$17</c:f>
              <c:numCache>
                <c:formatCode>General</c:formatCode>
                <c:ptCount val="3"/>
                <c:pt idx="0">
                  <c:v>158</c:v>
                </c:pt>
                <c:pt idx="1">
                  <c:v>26</c:v>
                </c:pt>
                <c:pt idx="2">
                  <c:v>66</c:v>
                </c:pt>
              </c:numCache>
            </c:numRef>
          </c:val>
          <c:extLst>
            <c:ext xmlns:c16="http://schemas.microsoft.com/office/drawing/2014/chart" uri="{C3380CC4-5D6E-409C-BE32-E72D297353CC}">
              <c16:uniqueId val="{00000000-997D-46CB-8775-48C88C31C75B}"/>
            </c:ext>
          </c:extLst>
        </c:ser>
        <c:ser>
          <c:idx val="1"/>
          <c:order val="1"/>
          <c:tx>
            <c:strRef>
              <c:f>Sheet2!$C$12:$C$13</c:f>
              <c:strCache>
                <c:ptCount val="1"/>
                <c:pt idx="0">
                  <c:v>Child</c:v>
                </c:pt>
              </c:strCache>
            </c:strRef>
          </c:tx>
          <c:spPr>
            <a:solidFill>
              <a:schemeClr val="accent2"/>
            </a:solidFill>
            <a:ln>
              <a:noFill/>
            </a:ln>
            <a:effectLst/>
          </c:spPr>
          <c:invertIfNegative val="0"/>
          <c:cat>
            <c:strRef>
              <c:f>Sheet2!$A$14:$A$17</c:f>
              <c:strCache>
                <c:ptCount val="3"/>
                <c:pt idx="0">
                  <c:v>High</c:v>
                </c:pt>
                <c:pt idx="1">
                  <c:v>Low</c:v>
                </c:pt>
                <c:pt idx="2">
                  <c:v>Medium</c:v>
                </c:pt>
              </c:strCache>
            </c:strRef>
          </c:cat>
          <c:val>
            <c:numRef>
              <c:f>Sheet2!$C$14:$C$17</c:f>
              <c:numCache>
                <c:formatCode>General</c:formatCode>
                <c:ptCount val="3"/>
                <c:pt idx="0">
                  <c:v>34</c:v>
                </c:pt>
                <c:pt idx="1">
                  <c:v>16</c:v>
                </c:pt>
                <c:pt idx="2">
                  <c:v>12</c:v>
                </c:pt>
              </c:numCache>
            </c:numRef>
          </c:val>
          <c:extLst>
            <c:ext xmlns:c16="http://schemas.microsoft.com/office/drawing/2014/chart" uri="{C3380CC4-5D6E-409C-BE32-E72D297353CC}">
              <c16:uniqueId val="{00000001-997D-46CB-8775-48C88C31C75B}"/>
            </c:ext>
          </c:extLst>
        </c:ser>
        <c:ser>
          <c:idx val="2"/>
          <c:order val="2"/>
          <c:tx>
            <c:strRef>
              <c:f>Sheet2!$D$12:$D$13</c:f>
              <c:strCache>
                <c:ptCount val="1"/>
                <c:pt idx="0">
                  <c:v>Elderly</c:v>
                </c:pt>
              </c:strCache>
            </c:strRef>
          </c:tx>
          <c:spPr>
            <a:solidFill>
              <a:schemeClr val="accent3"/>
            </a:solidFill>
            <a:ln>
              <a:noFill/>
            </a:ln>
            <a:effectLst/>
          </c:spPr>
          <c:invertIfNegative val="0"/>
          <c:cat>
            <c:strRef>
              <c:f>Sheet2!$A$14:$A$17</c:f>
              <c:strCache>
                <c:ptCount val="3"/>
                <c:pt idx="0">
                  <c:v>High</c:v>
                </c:pt>
                <c:pt idx="1">
                  <c:v>Low</c:v>
                </c:pt>
                <c:pt idx="2">
                  <c:v>Medium</c:v>
                </c:pt>
              </c:strCache>
            </c:strRef>
          </c:cat>
          <c:val>
            <c:numRef>
              <c:f>Sheet2!$D$14:$D$17</c:f>
              <c:numCache>
                <c:formatCode>General</c:formatCode>
                <c:ptCount val="3"/>
                <c:pt idx="0">
                  <c:v>113</c:v>
                </c:pt>
                <c:pt idx="1">
                  <c:v>10</c:v>
                </c:pt>
                <c:pt idx="2">
                  <c:v>39</c:v>
                </c:pt>
              </c:numCache>
            </c:numRef>
          </c:val>
          <c:extLst>
            <c:ext xmlns:c16="http://schemas.microsoft.com/office/drawing/2014/chart" uri="{C3380CC4-5D6E-409C-BE32-E72D297353CC}">
              <c16:uniqueId val="{00000002-997D-46CB-8775-48C88C31C75B}"/>
            </c:ext>
          </c:extLst>
        </c:ser>
        <c:ser>
          <c:idx val="3"/>
          <c:order val="3"/>
          <c:tx>
            <c:strRef>
              <c:f>Sheet2!$E$12:$E$13</c:f>
              <c:strCache>
                <c:ptCount val="1"/>
                <c:pt idx="0">
                  <c:v>Teen</c:v>
                </c:pt>
              </c:strCache>
            </c:strRef>
          </c:tx>
          <c:spPr>
            <a:solidFill>
              <a:schemeClr val="accent4"/>
            </a:solidFill>
            <a:ln>
              <a:noFill/>
            </a:ln>
            <a:effectLst/>
          </c:spPr>
          <c:invertIfNegative val="0"/>
          <c:cat>
            <c:strRef>
              <c:f>Sheet2!$A$14:$A$17</c:f>
              <c:strCache>
                <c:ptCount val="3"/>
                <c:pt idx="0">
                  <c:v>High</c:v>
                </c:pt>
                <c:pt idx="1">
                  <c:v>Low</c:v>
                </c:pt>
                <c:pt idx="2">
                  <c:v>Medium</c:v>
                </c:pt>
              </c:strCache>
            </c:strRef>
          </c:cat>
          <c:val>
            <c:numRef>
              <c:f>Sheet2!$E$14:$E$17</c:f>
              <c:numCache>
                <c:formatCode>General</c:formatCode>
                <c:ptCount val="3"/>
                <c:pt idx="0">
                  <c:v>21</c:v>
                </c:pt>
                <c:pt idx="1">
                  <c:v>8</c:v>
                </c:pt>
                <c:pt idx="2">
                  <c:v>10</c:v>
                </c:pt>
              </c:numCache>
            </c:numRef>
          </c:val>
          <c:extLst>
            <c:ext xmlns:c16="http://schemas.microsoft.com/office/drawing/2014/chart" uri="{C3380CC4-5D6E-409C-BE32-E72D297353CC}">
              <c16:uniqueId val="{00000003-997D-46CB-8775-48C88C31C75B}"/>
            </c:ext>
          </c:extLst>
        </c:ser>
        <c:dLbls>
          <c:showLegendKey val="0"/>
          <c:showVal val="0"/>
          <c:showCatName val="0"/>
          <c:showSerName val="0"/>
          <c:showPercent val="0"/>
          <c:showBubbleSize val="0"/>
        </c:dLbls>
        <c:gapWidth val="219"/>
        <c:overlap val="-27"/>
        <c:axId val="1657815088"/>
        <c:axId val="1657809808"/>
      </c:barChart>
      <c:catAx>
        <c:axId val="165781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09808"/>
        <c:crosses val="autoZero"/>
        <c:auto val="1"/>
        <c:lblAlgn val="ctr"/>
        <c:lblOffset val="100"/>
        <c:noMultiLvlLbl val="0"/>
      </c:catAx>
      <c:valAx>
        <c:axId val="1657809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815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editAs="oneCell">
    <xdr:from>
      <xdr:col>7</xdr:col>
      <xdr:colOff>340559</xdr:colOff>
      <xdr:row>145</xdr:row>
      <xdr:rowOff>162426</xdr:rowOff>
    </xdr:from>
    <xdr:to>
      <xdr:col>14</xdr:col>
      <xdr:colOff>206950</xdr:colOff>
      <xdr:row>148</xdr:row>
      <xdr:rowOff>51412</xdr:rowOff>
    </xdr:to>
    <xdr:pic>
      <xdr:nvPicPr>
        <xdr:cNvPr id="2" name="Picture 1">
          <a:extLst>
            <a:ext uri="{FF2B5EF4-FFF2-40B4-BE49-F238E27FC236}">
              <a16:creationId xmlns:a16="http://schemas.microsoft.com/office/drawing/2014/main" id="{F982AEA5-D376-751D-A7B8-FA7A8F827EDB}"/>
            </a:ext>
          </a:extLst>
        </xdr:cNvPr>
        <xdr:cNvPicPr>
          <a:picLocks noChangeAspect="1"/>
        </xdr:cNvPicPr>
      </xdr:nvPicPr>
      <xdr:blipFill>
        <a:blip xmlns:r="http://schemas.openxmlformats.org/officeDocument/2006/relationships" r:embed="rId1"/>
        <a:stretch>
          <a:fillRect/>
        </a:stretch>
      </xdr:blipFill>
      <xdr:spPr>
        <a:xfrm>
          <a:off x="4610098" y="34009597"/>
          <a:ext cx="4135931" cy="440433"/>
        </a:xfrm>
        <a:prstGeom prst="rect">
          <a:avLst/>
        </a:prstGeom>
      </xdr:spPr>
    </xdr:pic>
    <xdr:clientData/>
  </xdr:twoCellAnchor>
  <xdr:twoCellAnchor editAs="oneCell">
    <xdr:from>
      <xdr:col>4</xdr:col>
      <xdr:colOff>221510</xdr:colOff>
      <xdr:row>133</xdr:row>
      <xdr:rowOff>125067</xdr:rowOff>
    </xdr:from>
    <xdr:to>
      <xdr:col>9</xdr:col>
      <xdr:colOff>256822</xdr:colOff>
      <xdr:row>134</xdr:row>
      <xdr:rowOff>516404</xdr:rowOff>
    </xdr:to>
    <xdr:pic>
      <xdr:nvPicPr>
        <xdr:cNvPr id="3" name="Picture 2">
          <a:extLst>
            <a:ext uri="{FF2B5EF4-FFF2-40B4-BE49-F238E27FC236}">
              <a16:creationId xmlns:a16="http://schemas.microsoft.com/office/drawing/2014/main" id="{79ECE3B7-3034-9E88-7E30-CBA210D13A27}"/>
            </a:ext>
          </a:extLst>
        </xdr:cNvPr>
        <xdr:cNvPicPr>
          <a:picLocks noChangeAspect="1"/>
        </xdr:cNvPicPr>
      </xdr:nvPicPr>
      <xdr:blipFill>
        <a:blip xmlns:r="http://schemas.openxmlformats.org/officeDocument/2006/relationships" r:embed="rId2"/>
        <a:stretch>
          <a:fillRect/>
        </a:stretch>
      </xdr:blipFill>
      <xdr:spPr>
        <a:xfrm>
          <a:off x="2672905" y="29379369"/>
          <a:ext cx="3099557" cy="14988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61820</xdr:colOff>
      <xdr:row>12</xdr:row>
      <xdr:rowOff>138377</xdr:rowOff>
    </xdr:from>
    <xdr:to>
      <xdr:col>5</xdr:col>
      <xdr:colOff>188820</xdr:colOff>
      <xdr:row>26</xdr:row>
      <xdr:rowOff>74877</xdr:rowOff>
    </xdr:to>
    <xdr:graphicFrame macro="">
      <xdr:nvGraphicFramePr>
        <xdr:cNvPr id="4" name="Chart 3">
          <a:extLst>
            <a:ext uri="{FF2B5EF4-FFF2-40B4-BE49-F238E27FC236}">
              <a16:creationId xmlns:a16="http://schemas.microsoft.com/office/drawing/2014/main" id="{CFAAB8B6-46BC-7797-2D68-39586F7E6A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425450</xdr:colOff>
      <xdr:row>13</xdr:row>
      <xdr:rowOff>9525</xdr:rowOff>
    </xdr:from>
    <xdr:to>
      <xdr:col>12</xdr:col>
      <xdr:colOff>577850</xdr:colOff>
      <xdr:row>30</xdr:row>
      <xdr:rowOff>145879</xdr:rowOff>
    </xdr:to>
    <xdr:graphicFrame macro="">
      <xdr:nvGraphicFramePr>
        <xdr:cNvPr id="5" name="Chart 4">
          <a:extLst>
            <a:ext uri="{FF2B5EF4-FFF2-40B4-BE49-F238E27FC236}">
              <a16:creationId xmlns:a16="http://schemas.microsoft.com/office/drawing/2014/main" id="{1D50EF97-48D8-DE5E-1B66-F51B23E6D6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273050</xdr:colOff>
      <xdr:row>13</xdr:row>
      <xdr:rowOff>1115</xdr:rowOff>
    </xdr:from>
    <xdr:to>
      <xdr:col>19</xdr:col>
      <xdr:colOff>248851</xdr:colOff>
      <xdr:row>30</xdr:row>
      <xdr:rowOff>145879</xdr:rowOff>
    </xdr:to>
    <xdr:graphicFrame macro="">
      <xdr:nvGraphicFramePr>
        <xdr:cNvPr id="6" name="Chart 5">
          <a:extLst>
            <a:ext uri="{FF2B5EF4-FFF2-40B4-BE49-F238E27FC236}">
              <a16:creationId xmlns:a16="http://schemas.microsoft.com/office/drawing/2014/main" id="{39970C42-C622-6DA8-FD16-9C3C79427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102972</xdr:colOff>
      <xdr:row>41</xdr:row>
      <xdr:rowOff>35697</xdr:rowOff>
    </xdr:from>
    <xdr:to>
      <xdr:col>5</xdr:col>
      <xdr:colOff>530310</xdr:colOff>
      <xdr:row>56</xdr:row>
      <xdr:rowOff>75857</xdr:rowOff>
    </xdr:to>
    <xdr:graphicFrame macro="">
      <xdr:nvGraphicFramePr>
        <xdr:cNvPr id="2" name="Chart 1">
          <a:extLst>
            <a:ext uri="{FF2B5EF4-FFF2-40B4-BE49-F238E27FC236}">
              <a16:creationId xmlns:a16="http://schemas.microsoft.com/office/drawing/2014/main" id="{B8D83026-8B7B-DA0A-FF46-09EE8CCCA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142445</xdr:colOff>
      <xdr:row>41</xdr:row>
      <xdr:rowOff>52859</xdr:rowOff>
    </xdr:from>
    <xdr:to>
      <xdr:col>11</xdr:col>
      <xdr:colOff>852959</xdr:colOff>
      <xdr:row>56</xdr:row>
      <xdr:rowOff>93019</xdr:rowOff>
    </xdr:to>
    <xdr:graphicFrame macro="">
      <xdr:nvGraphicFramePr>
        <xdr:cNvPr id="7" name="Chart 6">
          <a:extLst>
            <a:ext uri="{FF2B5EF4-FFF2-40B4-BE49-F238E27FC236}">
              <a16:creationId xmlns:a16="http://schemas.microsoft.com/office/drawing/2014/main" id="{A787F349-1B8F-8BEA-05C0-3A0DBBB58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30892</xdr:colOff>
      <xdr:row>36</xdr:row>
      <xdr:rowOff>275967</xdr:rowOff>
    </xdr:from>
    <xdr:to>
      <xdr:col>19</xdr:col>
      <xdr:colOff>338094</xdr:colOff>
      <xdr:row>50</xdr:row>
      <xdr:rowOff>127342</xdr:rowOff>
    </xdr:to>
    <xdr:graphicFrame macro="">
      <xdr:nvGraphicFramePr>
        <xdr:cNvPr id="8" name="Chart 7">
          <a:extLst>
            <a:ext uri="{FF2B5EF4-FFF2-40B4-BE49-F238E27FC236}">
              <a16:creationId xmlns:a16="http://schemas.microsoft.com/office/drawing/2014/main" id="{4A36BCE1-FABA-89B1-806E-05CBC76D3C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69850</xdr:colOff>
      <xdr:row>0</xdr:row>
      <xdr:rowOff>0</xdr:rowOff>
    </xdr:from>
    <xdr:to>
      <xdr:col>10</xdr:col>
      <xdr:colOff>370417</xdr:colOff>
      <xdr:row>12</xdr:row>
      <xdr:rowOff>62793</xdr:rowOff>
    </xdr:to>
    <xdr:graphicFrame macro="">
      <xdr:nvGraphicFramePr>
        <xdr:cNvPr id="2" name="Chart 1">
          <a:extLst>
            <a:ext uri="{FF2B5EF4-FFF2-40B4-BE49-F238E27FC236}">
              <a16:creationId xmlns:a16="http://schemas.microsoft.com/office/drawing/2014/main" id="{DEE93F73-869D-EE90-6EFA-F0CDE6DFA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418087</xdr:colOff>
      <xdr:row>0</xdr:row>
      <xdr:rowOff>0</xdr:rowOff>
    </xdr:from>
    <xdr:to>
      <xdr:col>18</xdr:col>
      <xdr:colOff>174207</xdr:colOff>
      <xdr:row>14</xdr:row>
      <xdr:rowOff>148891</xdr:rowOff>
    </xdr:to>
    <xdr:graphicFrame macro="">
      <xdr:nvGraphicFramePr>
        <xdr:cNvPr id="3" name="Chart 2">
          <a:extLst>
            <a:ext uri="{FF2B5EF4-FFF2-40B4-BE49-F238E27FC236}">
              <a16:creationId xmlns:a16="http://schemas.microsoft.com/office/drawing/2014/main" id="{437F66C0-1C26-8F7A-E97D-B423A8EFD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409268</xdr:colOff>
      <xdr:row>14</xdr:row>
      <xdr:rowOff>139719</xdr:rowOff>
    </xdr:from>
    <xdr:to>
      <xdr:col>18</xdr:col>
      <xdr:colOff>165388</xdr:colOff>
      <xdr:row>29</xdr:row>
      <xdr:rowOff>104794</xdr:rowOff>
    </xdr:to>
    <xdr:graphicFrame macro="">
      <xdr:nvGraphicFramePr>
        <xdr:cNvPr id="4" name="Chart 3">
          <a:extLst>
            <a:ext uri="{FF2B5EF4-FFF2-40B4-BE49-F238E27FC236}">
              <a16:creationId xmlns:a16="http://schemas.microsoft.com/office/drawing/2014/main" id="{947A280B-6EEA-A113-88D5-093E66A071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17220</xdr:colOff>
      <xdr:row>14</xdr:row>
      <xdr:rowOff>22171</xdr:rowOff>
    </xdr:from>
    <xdr:to>
      <xdr:col>10</xdr:col>
      <xdr:colOff>208796</xdr:colOff>
      <xdr:row>29</xdr:row>
      <xdr:rowOff>20879</xdr:rowOff>
    </xdr:to>
    <xdr:graphicFrame macro="">
      <xdr:nvGraphicFramePr>
        <xdr:cNvPr id="5" name="Chart 4">
          <a:extLst>
            <a:ext uri="{FF2B5EF4-FFF2-40B4-BE49-F238E27FC236}">
              <a16:creationId xmlns:a16="http://schemas.microsoft.com/office/drawing/2014/main" id="{972614D4-824D-3034-2012-696703C572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49508</xdr:colOff>
      <xdr:row>29</xdr:row>
      <xdr:rowOff>11408</xdr:rowOff>
    </xdr:from>
    <xdr:to>
      <xdr:col>10</xdr:col>
      <xdr:colOff>241085</xdr:colOff>
      <xdr:row>44</xdr:row>
      <xdr:rowOff>10117</xdr:rowOff>
    </xdr:to>
    <xdr:graphicFrame macro="">
      <xdr:nvGraphicFramePr>
        <xdr:cNvPr id="6" name="Chart 5">
          <a:extLst>
            <a:ext uri="{FF2B5EF4-FFF2-40B4-BE49-F238E27FC236}">
              <a16:creationId xmlns:a16="http://schemas.microsoft.com/office/drawing/2014/main" id="{447600CA-0298-F7BE-84CD-0D1319259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393915</xdr:colOff>
      <xdr:row>29</xdr:row>
      <xdr:rowOff>22170</xdr:rowOff>
    </xdr:from>
    <xdr:to>
      <xdr:col>18</xdr:col>
      <xdr:colOff>58118</xdr:colOff>
      <xdr:row>44</xdr:row>
      <xdr:rowOff>20879</xdr:rowOff>
    </xdr:to>
    <xdr:graphicFrame macro="">
      <xdr:nvGraphicFramePr>
        <xdr:cNvPr id="7" name="Chart 6">
          <a:extLst>
            <a:ext uri="{FF2B5EF4-FFF2-40B4-BE49-F238E27FC236}">
              <a16:creationId xmlns:a16="http://schemas.microsoft.com/office/drawing/2014/main" id="{A984C3B9-066F-E0A1-F8E8-E2FCD35FC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92559</xdr:colOff>
      <xdr:row>44</xdr:row>
      <xdr:rowOff>32934</xdr:rowOff>
    </xdr:from>
    <xdr:to>
      <xdr:col>10</xdr:col>
      <xdr:colOff>284135</xdr:colOff>
      <xdr:row>59</xdr:row>
      <xdr:rowOff>31642</xdr:rowOff>
    </xdr:to>
    <xdr:graphicFrame macro="">
      <xdr:nvGraphicFramePr>
        <xdr:cNvPr id="8" name="Chart 7">
          <a:extLst>
            <a:ext uri="{FF2B5EF4-FFF2-40B4-BE49-F238E27FC236}">
              <a16:creationId xmlns:a16="http://schemas.microsoft.com/office/drawing/2014/main" id="{58BC68E0-585F-161B-1AF3-2040F6F31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135610</xdr:colOff>
      <xdr:row>0</xdr:row>
      <xdr:rowOff>108274</xdr:rowOff>
    </xdr:from>
    <xdr:to>
      <xdr:col>26</xdr:col>
      <xdr:colOff>413288</xdr:colOff>
      <xdr:row>15</xdr:row>
      <xdr:rowOff>106982</xdr:rowOff>
    </xdr:to>
    <xdr:graphicFrame macro="">
      <xdr:nvGraphicFramePr>
        <xdr:cNvPr id="9" name="Chart 8">
          <a:extLst>
            <a:ext uri="{FF2B5EF4-FFF2-40B4-BE49-F238E27FC236}">
              <a16:creationId xmlns:a16="http://schemas.microsoft.com/office/drawing/2014/main" id="{535AD363-42F0-90E3-43B7-78678A3A0D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103322</xdr:colOff>
      <xdr:row>16</xdr:row>
      <xdr:rowOff>22171</xdr:rowOff>
    </xdr:from>
    <xdr:to>
      <xdr:col>26</xdr:col>
      <xdr:colOff>381000</xdr:colOff>
      <xdr:row>31</xdr:row>
      <xdr:rowOff>20880</xdr:rowOff>
    </xdr:to>
    <xdr:graphicFrame macro="">
      <xdr:nvGraphicFramePr>
        <xdr:cNvPr id="10" name="Chart 9">
          <a:extLst>
            <a:ext uri="{FF2B5EF4-FFF2-40B4-BE49-F238E27FC236}">
              <a16:creationId xmlns:a16="http://schemas.microsoft.com/office/drawing/2014/main" id="{B96FDE9A-5433-A320-340F-579EFDD7F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151295</xdr:colOff>
      <xdr:row>0</xdr:row>
      <xdr:rowOff>1</xdr:rowOff>
    </xdr:from>
    <xdr:to>
      <xdr:col>11</xdr:col>
      <xdr:colOff>417088</xdr:colOff>
      <xdr:row>17</xdr:row>
      <xdr:rowOff>131141</xdr:rowOff>
    </xdr:to>
    <xdr:graphicFrame macro="">
      <xdr:nvGraphicFramePr>
        <xdr:cNvPr id="2" name="Chart 1">
          <a:extLst>
            <a:ext uri="{FF2B5EF4-FFF2-40B4-BE49-F238E27FC236}">
              <a16:creationId xmlns:a16="http://schemas.microsoft.com/office/drawing/2014/main" id="{40439E39-35EC-C3DE-53D9-F8AA8D3AC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463590</xdr:colOff>
      <xdr:row>0</xdr:row>
      <xdr:rowOff>0</xdr:rowOff>
    </xdr:from>
    <xdr:to>
      <xdr:col>17</xdr:col>
      <xdr:colOff>311583</xdr:colOff>
      <xdr:row>17</xdr:row>
      <xdr:rowOff>138042</xdr:rowOff>
    </xdr:to>
    <xdr:graphicFrame macro="">
      <xdr:nvGraphicFramePr>
        <xdr:cNvPr id="3" name="Chart 2">
          <a:extLst>
            <a:ext uri="{FF2B5EF4-FFF2-40B4-BE49-F238E27FC236}">
              <a16:creationId xmlns:a16="http://schemas.microsoft.com/office/drawing/2014/main" id="{10EAC849-4C5F-5178-E1D4-FA85981CB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ee Mehrotra" refreshedDate="46145.732849305554" createdVersion="8" refreshedVersion="8" minRefreshableVersion="3" recordCount="1000" xr:uid="{A46B4492-8548-4ACA-9FA5-531E00B2C20A}">
  <cacheSource type="worksheet">
    <worksheetSource ref="A1:O1001" sheet="data"/>
  </cacheSource>
  <cacheFields count="15">
    <cacheField name="Country" numFmtId="0">
      <sharedItems/>
    </cacheField>
    <cacheField name="Year" numFmtId="0">
      <sharedItems containsSemiMixedTypes="0" containsString="0" containsNumber="1" containsInteger="1" minValue="2005" maxValue="2024"/>
    </cacheField>
    <cacheField name="Age" numFmtId="0">
      <sharedItems containsSemiMixedTypes="0" containsString="0" containsNumber="1" containsInteger="1" minValue="1" maxValue="85" count="85">
        <n v="36"/>
        <n v="82"/>
        <n v="9"/>
        <n v="30"/>
        <n v="81"/>
        <n v="3"/>
        <n v="79"/>
        <n v="24"/>
        <n v="63"/>
        <n v="4"/>
        <n v="58"/>
        <n v="26"/>
        <n v="53"/>
        <n v="85"/>
        <n v="54"/>
        <n v="38"/>
        <n v="29"/>
        <n v="31"/>
        <n v="15"/>
        <n v="77"/>
        <n v="70"/>
        <n v="13"/>
        <n v="47"/>
        <n v="56"/>
        <n v="10"/>
        <n v="33"/>
        <n v="22"/>
        <n v="64"/>
        <n v="55"/>
        <n v="23"/>
        <n v="35"/>
        <n v="74"/>
        <n v="32"/>
        <n v="18"/>
        <n v="83"/>
        <n v="48"/>
        <n v="59"/>
        <n v="34"/>
        <n v="1"/>
        <n v="73"/>
        <n v="68"/>
        <n v="78"/>
        <n v="69"/>
        <n v="57"/>
        <n v="60"/>
        <n v="5"/>
        <n v="44"/>
        <n v="21"/>
        <n v="51"/>
        <n v="45"/>
        <n v="75"/>
        <n v="8"/>
        <n v="62"/>
        <n v="66"/>
        <n v="7"/>
        <n v="67"/>
        <n v="71"/>
        <n v="40"/>
        <n v="14"/>
        <n v="20"/>
        <n v="49"/>
        <n v="61"/>
        <n v="27"/>
        <n v="84"/>
        <n v="41"/>
        <n v="17"/>
        <n v="25"/>
        <n v="11"/>
        <n v="6"/>
        <n v="28"/>
        <n v="72"/>
        <n v="2"/>
        <n v="80"/>
        <n v="12"/>
        <n v="19"/>
        <n v="76"/>
        <n v="43"/>
        <n v="50"/>
        <n v="37"/>
        <n v="16"/>
        <n v="42"/>
        <n v="39"/>
        <n v="52"/>
        <n v="65"/>
        <n v="46"/>
      </sharedItems>
    </cacheField>
    <cacheField name="Gender" numFmtId="0">
      <sharedItems count="2">
        <s v="Female"/>
        <s v="Male"/>
      </sharedItems>
    </cacheField>
    <cacheField name="Age_Group" numFmtId="0">
      <sharedItems count="4">
        <s v="Adult"/>
        <s v="Elderly"/>
        <s v="Child"/>
        <s v="Teen"/>
      </sharedItems>
    </cacheField>
    <cacheField name="HbA1c" numFmtId="0">
      <sharedItems containsSemiMixedTypes="0" containsString="0" containsNumber="1" minValue="3.88" maxValue="11.82"/>
    </cacheField>
    <cacheField name="HDL" numFmtId="0">
      <sharedItems containsSemiMixedTypes="0" containsString="0" containsNumber="1" minValue="8.39" maxValue="78.319999999999993"/>
    </cacheField>
    <cacheField name="LDL" numFmtId="0">
      <sharedItems containsSemiMixedTypes="0" containsString="0" containsNumber="1" minValue="75.39" maxValue="241.74"/>
    </cacheField>
    <cacheField name="TG" numFmtId="0">
      <sharedItems containsSemiMixedTypes="0" containsString="0" containsNumber="1" minValue="55.72" maxValue="357.57"/>
    </cacheField>
    <cacheField name="TG_HDL_Ratio" numFmtId="0">
      <sharedItems containsSemiMixedTypes="0" containsString="0" containsNumber="1" minValue="0.94" maxValue="35.33"/>
    </cacheField>
    <cacheField name="Fasting_Insulin" numFmtId="0">
      <sharedItems containsSemiMixedTypes="0" containsString="0" containsNumber="1" minValue="-2.04" maxValue="17.89"/>
    </cacheField>
    <cacheField name="HOMA_IR" numFmtId="0">
      <sharedItems containsSemiMixedTypes="0" containsString="0" containsNumber="1" minValue="-0.5" maxValue="4.37"/>
    </cacheField>
    <cacheField name="Diabetic" numFmtId="0">
      <sharedItems containsSemiMixedTypes="0" containsString="0" containsNumber="1" containsInteger="1" minValue="0" maxValue="1"/>
    </cacheField>
    <cacheField name="Insulin_Resistant" numFmtId="0">
      <sharedItems containsSemiMixedTypes="0" containsString="0" containsNumber="1" containsInteger="1" minValue="0" maxValue="1"/>
    </cacheField>
    <cacheField name="Heart_Risk" numFmtId="0">
      <sharedItems count="3">
        <s v="Medium"/>
        <s v="High"/>
        <s v="Low"/>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ee Mehrotra" refreshedDate="46145.939140740738" createdVersion="8" refreshedVersion="8" minRefreshableVersion="3" recordCount="3" xr:uid="{C899AD58-8A20-4B38-AB8E-27C056E0524F}">
  <cacheSource type="worksheet">
    <worksheetSource name="Table1"/>
  </cacheSource>
  <cacheFields count="6">
    <cacheField name="Gender/ Age group" numFmtId="0">
      <sharedItems count="3">
        <s v="Female "/>
        <s v="Male"/>
        <s v="Total"/>
      </sharedItems>
    </cacheField>
    <cacheField name="Child" numFmtId="0">
      <sharedItems containsSemiMixedTypes="0" containsString="0" containsNumber="1" containsInteger="1" minValue="11" maxValue="22"/>
    </cacheField>
    <cacheField name="Teen" numFmtId="0">
      <sharedItems containsSemiMixedTypes="0" containsString="0" containsNumber="1" containsInteger="1" minValue="4" maxValue="10"/>
    </cacheField>
    <cacheField name="Adult" numFmtId="0">
      <sharedItems containsSemiMixedTypes="0" containsString="0" containsNumber="1" containsInteger="1" minValue="11" maxValue="24"/>
    </cacheField>
    <cacheField name="Elderly" numFmtId="0">
      <sharedItems containsSemiMixedTypes="0" containsString="0" containsNumber="1" containsInteger="1" minValue="0" maxValue="3"/>
    </cacheField>
    <cacheField name="Total" numFmtId="0">
      <sharedItems containsSemiMixedTypes="0" containsString="0" containsNumber="1" containsInteger="1" minValue="26" maxValue="5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ee Mehrotra" refreshedDate="46145.940337152781" createdVersion="8" refreshedVersion="8" minRefreshableVersion="3" recordCount="3" xr:uid="{EF1F576B-B6D2-439F-8011-8E82F086BC1D}">
  <cacheSource type="worksheet">
    <worksheetSource name="Table2"/>
  </cacheSource>
  <cacheFields count="6">
    <cacheField name="Gender/ Age group" numFmtId="0">
      <sharedItems count="3">
        <s v="Female "/>
        <s v="Male"/>
        <s v="Total"/>
      </sharedItems>
    </cacheField>
    <cacheField name="Child" numFmtId="0">
      <sharedItems containsSemiMixedTypes="0" containsString="0" containsNumber="1" containsInteger="1" minValue="17" maxValue="34"/>
    </cacheField>
    <cacheField name="Teen" numFmtId="0">
      <sharedItems containsSemiMixedTypes="0" containsString="0" containsNumber="1" containsInteger="1" minValue="6" maxValue="18"/>
    </cacheField>
    <cacheField name="Adult" numFmtId="0">
      <sharedItems containsSemiMixedTypes="0" containsString="0" containsNumber="1" containsInteger="1" minValue="28" maxValue="70"/>
    </cacheField>
    <cacheField name="Elderly" numFmtId="0">
      <sharedItems containsSemiMixedTypes="0" containsString="0" containsNumber="1" containsInteger="1" minValue="8" maxValue="17"/>
    </cacheField>
    <cacheField name="Total" numFmtId="0">
      <sharedItems containsSemiMixedTypes="0" containsString="0" containsNumber="1" containsInteger="1" minValue="66" maxValue="13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vee Mehrotra" refreshedDate="46145.941308449073" createdVersion="8" refreshedVersion="8" minRefreshableVersion="3" recordCount="3" xr:uid="{D6C91029-C3E4-44A0-9E95-FEBE9F085237}">
  <cacheSource type="worksheet">
    <worksheetSource name="Table3"/>
  </cacheSource>
  <cacheFields count="6">
    <cacheField name="Gender/ Age group" numFmtId="0">
      <sharedItems count="3">
        <s v="Female "/>
        <s v="Male"/>
        <s v="Total"/>
      </sharedItems>
    </cacheField>
    <cacheField name="Child" numFmtId="0">
      <sharedItems containsSemiMixedTypes="0" containsString="0" containsNumber="1" containsInteger="1" minValue="35" maxValue="81"/>
    </cacheField>
    <cacheField name="Teen" numFmtId="0">
      <sharedItems containsSemiMixedTypes="0" containsString="0" containsNumber="1" containsInteger="1" minValue="27" maxValue="63"/>
    </cacheField>
    <cacheField name="Adult" numFmtId="0">
      <sharedItems containsSemiMixedTypes="0" containsString="0" containsNumber="1" containsInteger="1" minValue="177" maxValue="372"/>
    </cacheField>
    <cacheField name="Elderly" numFmtId="0">
      <sharedItems containsSemiMixedTypes="0" containsString="0" containsNumber="1" containsInteger="1" minValue="137" maxValue="288"/>
    </cacheField>
    <cacheField name="Total" numFmtId="0">
      <sharedItems containsSemiMixedTypes="0" containsString="0" containsNumber="1" containsInteger="1" minValue="396" maxValue="8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India"/>
    <n v="2005"/>
    <x v="0"/>
    <x v="0"/>
    <x v="0"/>
    <n v="7.88"/>
    <n v="36.6"/>
    <n v="136.44999999999999"/>
    <n v="132.24"/>
    <n v="3.61"/>
    <n v="4.53"/>
    <n v="1.1100000000000001"/>
    <n v="1"/>
    <n v="0"/>
    <x v="0"/>
  </r>
  <r>
    <s v="India"/>
    <n v="2005"/>
    <x v="1"/>
    <x v="0"/>
    <x v="1"/>
    <n v="7.73"/>
    <n v="59.76"/>
    <n v="163.44999999999999"/>
    <n v="191.31"/>
    <n v="3.2"/>
    <n v="7.23"/>
    <n v="1.77"/>
    <n v="1"/>
    <n v="0"/>
    <x v="1"/>
  </r>
  <r>
    <s v="India"/>
    <n v="2005"/>
    <x v="2"/>
    <x v="1"/>
    <x v="2"/>
    <n v="6.57"/>
    <n v="50.98"/>
    <n v="154.16"/>
    <n v="191.25"/>
    <n v="3.75"/>
    <n v="4.54"/>
    <n v="1.1100000000000001"/>
    <n v="1"/>
    <n v="0"/>
    <x v="0"/>
  </r>
  <r>
    <s v="India"/>
    <n v="2005"/>
    <x v="3"/>
    <x v="1"/>
    <x v="0"/>
    <n v="6.38"/>
    <n v="54.96"/>
    <n v="160.63"/>
    <n v="155.52000000000001"/>
    <n v="2.83"/>
    <n v="9.4600000000000009"/>
    <n v="2.31"/>
    <n v="0"/>
    <n v="0"/>
    <x v="1"/>
  </r>
  <r>
    <s v="India"/>
    <n v="2005"/>
    <x v="4"/>
    <x v="0"/>
    <x v="1"/>
    <n v="9.24"/>
    <n v="40.729999999999997"/>
    <n v="116.28"/>
    <n v="168.98"/>
    <n v="4.1500000000000004"/>
    <n v="16.18"/>
    <n v="3.96"/>
    <n v="1"/>
    <n v="1"/>
    <x v="2"/>
  </r>
  <r>
    <s v="India"/>
    <n v="2005"/>
    <x v="5"/>
    <x v="0"/>
    <x v="2"/>
    <n v="4.87"/>
    <n v="47.01"/>
    <n v="129.66"/>
    <n v="198.1"/>
    <n v="4.21"/>
    <n v="7.04"/>
    <n v="1.72"/>
    <n v="0"/>
    <n v="0"/>
    <x v="2"/>
  </r>
  <r>
    <s v="India"/>
    <n v="2005"/>
    <x v="6"/>
    <x v="0"/>
    <x v="1"/>
    <n v="7.7"/>
    <n v="33.99"/>
    <n v="181.38"/>
    <n v="212.03"/>
    <n v="6.24"/>
    <n v="9.5399999999999991"/>
    <n v="2.33"/>
    <n v="1"/>
    <n v="0"/>
    <x v="1"/>
  </r>
  <r>
    <s v="India"/>
    <n v="2005"/>
    <x v="7"/>
    <x v="0"/>
    <x v="0"/>
    <n v="6.81"/>
    <n v="37.54"/>
    <n v="116.6"/>
    <n v="232.2"/>
    <n v="6.19"/>
    <n v="4.45"/>
    <n v="1.0900000000000001"/>
    <n v="1"/>
    <n v="0"/>
    <x v="1"/>
  </r>
  <r>
    <s v="India"/>
    <n v="2005"/>
    <x v="7"/>
    <x v="0"/>
    <x v="0"/>
    <n v="6.37"/>
    <n v="40.44"/>
    <n v="99.93"/>
    <n v="161.9"/>
    <n v="4"/>
    <n v="11.45"/>
    <n v="2.8"/>
    <n v="0"/>
    <n v="1"/>
    <x v="2"/>
  </r>
  <r>
    <s v="India"/>
    <n v="2005"/>
    <x v="8"/>
    <x v="1"/>
    <x v="1"/>
    <n v="7.16"/>
    <n v="49.66"/>
    <n v="124.56"/>
    <n v="242"/>
    <n v="4.87"/>
    <n v="7.82"/>
    <n v="1.91"/>
    <n v="1"/>
    <n v="0"/>
    <x v="1"/>
  </r>
  <r>
    <s v="India"/>
    <n v="2005"/>
    <x v="9"/>
    <x v="0"/>
    <x v="2"/>
    <n v="7.08"/>
    <n v="39.76"/>
    <n v="106.19"/>
    <n v="177.66"/>
    <n v="4.47"/>
    <n v="6.81"/>
    <n v="1.66"/>
    <n v="1"/>
    <n v="0"/>
    <x v="2"/>
  </r>
  <r>
    <s v="India"/>
    <n v="2005"/>
    <x v="10"/>
    <x v="0"/>
    <x v="0"/>
    <n v="5.22"/>
    <n v="39.15"/>
    <n v="145.93"/>
    <n v="138.80000000000001"/>
    <n v="3.55"/>
    <n v="11.03"/>
    <n v="2.7"/>
    <n v="0"/>
    <n v="1"/>
    <x v="0"/>
  </r>
  <r>
    <s v="India"/>
    <n v="2005"/>
    <x v="11"/>
    <x v="1"/>
    <x v="0"/>
    <n v="7.04"/>
    <n v="57.17"/>
    <n v="130.19"/>
    <n v="191.27"/>
    <n v="3.35"/>
    <n v="4.72"/>
    <n v="1.1499999999999999"/>
    <n v="1"/>
    <n v="0"/>
    <x v="0"/>
  </r>
  <r>
    <s v="India"/>
    <n v="2005"/>
    <x v="12"/>
    <x v="1"/>
    <x v="0"/>
    <n v="7.09"/>
    <n v="30.51"/>
    <n v="156.22999999999999"/>
    <n v="193.61"/>
    <n v="6.35"/>
    <n v="3.62"/>
    <n v="0.89"/>
    <n v="1"/>
    <n v="0"/>
    <x v="0"/>
  </r>
  <r>
    <s v="India"/>
    <n v="2005"/>
    <x v="13"/>
    <x v="0"/>
    <x v="1"/>
    <n v="10.210000000000001"/>
    <n v="20.420000000000002"/>
    <n v="111.99"/>
    <n v="175.32"/>
    <n v="8.59"/>
    <n v="8.34"/>
    <n v="2.04"/>
    <n v="1"/>
    <n v="0"/>
    <x v="2"/>
  </r>
  <r>
    <s v="India"/>
    <n v="2005"/>
    <x v="14"/>
    <x v="1"/>
    <x v="0"/>
    <n v="7.8"/>
    <n v="50.21"/>
    <n v="149.62"/>
    <n v="115.67"/>
    <n v="2.2999999999999998"/>
    <n v="10"/>
    <n v="2.4500000000000002"/>
    <n v="1"/>
    <n v="0"/>
    <x v="0"/>
  </r>
  <r>
    <s v="India"/>
    <n v="2005"/>
    <x v="15"/>
    <x v="1"/>
    <x v="0"/>
    <n v="8.41"/>
    <n v="40.6"/>
    <n v="98.29"/>
    <n v="271.76"/>
    <n v="6.69"/>
    <n v="5.42"/>
    <n v="1.32"/>
    <n v="1"/>
    <n v="0"/>
    <x v="1"/>
  </r>
  <r>
    <s v="India"/>
    <n v="2005"/>
    <x v="16"/>
    <x v="0"/>
    <x v="0"/>
    <n v="3.88"/>
    <n v="50.47"/>
    <n v="96.7"/>
    <n v="158.09"/>
    <n v="3.13"/>
    <n v="6.87"/>
    <n v="1.68"/>
    <n v="0"/>
    <n v="0"/>
    <x v="2"/>
  </r>
  <r>
    <s v="India"/>
    <n v="2005"/>
    <x v="17"/>
    <x v="0"/>
    <x v="0"/>
    <n v="7.25"/>
    <n v="27.75"/>
    <n v="157.55000000000001"/>
    <n v="81.03"/>
    <n v="2.92"/>
    <n v="11.61"/>
    <n v="2.84"/>
    <n v="1"/>
    <n v="1"/>
    <x v="0"/>
  </r>
  <r>
    <s v="India"/>
    <n v="2005"/>
    <x v="18"/>
    <x v="0"/>
    <x v="3"/>
    <n v="4.8"/>
    <n v="51.18"/>
    <n v="152.55000000000001"/>
    <n v="92.75"/>
    <n v="1.81"/>
    <n v="4.12"/>
    <n v="1.01"/>
    <n v="0"/>
    <n v="0"/>
    <x v="0"/>
  </r>
  <r>
    <s v="India"/>
    <n v="2005"/>
    <x v="13"/>
    <x v="1"/>
    <x v="1"/>
    <n v="7.73"/>
    <n v="41.37"/>
    <n v="126.81"/>
    <n v="156.43"/>
    <n v="3.78"/>
    <n v="7.59"/>
    <n v="1.85"/>
    <n v="1"/>
    <n v="0"/>
    <x v="2"/>
  </r>
  <r>
    <s v="India"/>
    <n v="2005"/>
    <x v="19"/>
    <x v="0"/>
    <x v="1"/>
    <n v="6.88"/>
    <n v="59.57"/>
    <n v="148.66"/>
    <n v="155.84"/>
    <n v="2.62"/>
    <n v="11.1"/>
    <n v="2.71"/>
    <n v="1"/>
    <n v="1"/>
    <x v="0"/>
  </r>
  <r>
    <s v="India"/>
    <n v="2005"/>
    <x v="20"/>
    <x v="1"/>
    <x v="1"/>
    <n v="6.96"/>
    <n v="46.16"/>
    <n v="162.66"/>
    <n v="240.46"/>
    <n v="5.21"/>
    <n v="1.59"/>
    <n v="0.39"/>
    <n v="1"/>
    <n v="0"/>
    <x v="1"/>
  </r>
  <r>
    <s v="India"/>
    <n v="2005"/>
    <x v="8"/>
    <x v="1"/>
    <x v="1"/>
    <n v="7.66"/>
    <n v="38.479999999999997"/>
    <n v="133.41"/>
    <n v="168.51"/>
    <n v="4.38"/>
    <n v="10.49"/>
    <n v="2.56"/>
    <n v="1"/>
    <n v="1"/>
    <x v="0"/>
  </r>
  <r>
    <s v="India"/>
    <n v="2005"/>
    <x v="21"/>
    <x v="0"/>
    <x v="3"/>
    <n v="6.97"/>
    <n v="51.18"/>
    <n v="159.19999999999999"/>
    <n v="158.18"/>
    <n v="3.09"/>
    <n v="9.0399999999999991"/>
    <n v="2.21"/>
    <n v="1"/>
    <n v="0"/>
    <x v="0"/>
  </r>
  <r>
    <s v="India"/>
    <n v="2005"/>
    <x v="22"/>
    <x v="1"/>
    <x v="0"/>
    <n v="6.62"/>
    <n v="40.549999999999997"/>
    <n v="114.57"/>
    <n v="182.57"/>
    <n v="4.5"/>
    <n v="4.33"/>
    <n v="1.06"/>
    <n v="1"/>
    <n v="0"/>
    <x v="2"/>
  </r>
  <r>
    <s v="India"/>
    <n v="2005"/>
    <x v="23"/>
    <x v="0"/>
    <x v="0"/>
    <n v="6.43"/>
    <n v="44.19"/>
    <n v="211.17"/>
    <n v="147.09"/>
    <n v="3.33"/>
    <n v="7.07"/>
    <n v="1.73"/>
    <n v="0"/>
    <n v="0"/>
    <x v="1"/>
  </r>
  <r>
    <s v="India"/>
    <n v="2005"/>
    <x v="15"/>
    <x v="0"/>
    <x v="0"/>
    <n v="6.16"/>
    <n v="29.33"/>
    <n v="159.63"/>
    <n v="249.24"/>
    <n v="8.5"/>
    <n v="0.1"/>
    <n v="0.03"/>
    <n v="0"/>
    <n v="0"/>
    <x v="1"/>
  </r>
  <r>
    <s v="India"/>
    <n v="2005"/>
    <x v="24"/>
    <x v="1"/>
    <x v="2"/>
    <n v="6.93"/>
    <n v="42.23"/>
    <n v="127"/>
    <n v="170.5"/>
    <n v="4.04"/>
    <n v="10.09"/>
    <n v="2.4700000000000002"/>
    <n v="1"/>
    <n v="0"/>
    <x v="2"/>
  </r>
  <r>
    <s v="India"/>
    <n v="2005"/>
    <x v="25"/>
    <x v="0"/>
    <x v="0"/>
    <n v="6"/>
    <n v="53.55"/>
    <n v="157.36000000000001"/>
    <n v="190.5"/>
    <n v="3.56"/>
    <n v="4.9400000000000004"/>
    <n v="1.21"/>
    <n v="0"/>
    <n v="0"/>
    <x v="0"/>
  </r>
  <r>
    <s v="India"/>
    <n v="2005"/>
    <x v="26"/>
    <x v="1"/>
    <x v="0"/>
    <n v="6.58"/>
    <n v="29.19"/>
    <n v="134.68"/>
    <n v="195.36"/>
    <n v="6.69"/>
    <n v="6.5"/>
    <n v="1.59"/>
    <n v="1"/>
    <n v="0"/>
    <x v="0"/>
  </r>
  <r>
    <s v="India"/>
    <n v="2005"/>
    <x v="12"/>
    <x v="0"/>
    <x v="0"/>
    <n v="7.71"/>
    <n v="33.07"/>
    <n v="112.19"/>
    <n v="141.06"/>
    <n v="4.26"/>
    <n v="7.69"/>
    <n v="1.88"/>
    <n v="1"/>
    <n v="0"/>
    <x v="2"/>
  </r>
  <r>
    <s v="India"/>
    <n v="2005"/>
    <x v="23"/>
    <x v="1"/>
    <x v="0"/>
    <n v="6.63"/>
    <n v="43.35"/>
    <n v="145.71"/>
    <n v="107.28"/>
    <n v="2.4700000000000002"/>
    <n v="-0.36"/>
    <n v="-0.09"/>
    <n v="1"/>
    <n v="0"/>
    <x v="0"/>
  </r>
  <r>
    <s v="India"/>
    <n v="2005"/>
    <x v="14"/>
    <x v="0"/>
    <x v="0"/>
    <n v="5.54"/>
    <n v="53.59"/>
    <n v="135.31"/>
    <n v="197.24"/>
    <n v="3.68"/>
    <n v="13.73"/>
    <n v="3.36"/>
    <n v="0"/>
    <n v="1"/>
    <x v="0"/>
  </r>
  <r>
    <s v="India"/>
    <n v="2005"/>
    <x v="18"/>
    <x v="1"/>
    <x v="3"/>
    <n v="6.08"/>
    <n v="44.31"/>
    <n v="94.66"/>
    <n v="186.51"/>
    <n v="4.21"/>
    <n v="4.2"/>
    <n v="1.03"/>
    <n v="0"/>
    <n v="0"/>
    <x v="2"/>
  </r>
  <r>
    <s v="India"/>
    <n v="2005"/>
    <x v="27"/>
    <x v="1"/>
    <x v="1"/>
    <n v="7.71"/>
    <n v="29.49"/>
    <n v="151.03"/>
    <n v="166.34"/>
    <n v="5.64"/>
    <n v="4.58"/>
    <n v="1.1200000000000001"/>
    <n v="1"/>
    <n v="0"/>
    <x v="0"/>
  </r>
  <r>
    <s v="India"/>
    <n v="2005"/>
    <x v="28"/>
    <x v="1"/>
    <x v="0"/>
    <n v="7.03"/>
    <n v="52.49"/>
    <n v="132.93"/>
    <n v="132.41999999999999"/>
    <n v="2.52"/>
    <n v="12.13"/>
    <n v="2.96"/>
    <n v="1"/>
    <n v="1"/>
    <x v="0"/>
  </r>
  <r>
    <s v="India"/>
    <n v="2005"/>
    <x v="29"/>
    <x v="0"/>
    <x v="0"/>
    <n v="7.08"/>
    <n v="50.81"/>
    <n v="154.51"/>
    <n v="124.71"/>
    <n v="2.4500000000000002"/>
    <n v="10.73"/>
    <n v="2.62"/>
    <n v="1"/>
    <n v="1"/>
    <x v="0"/>
  </r>
  <r>
    <s v="India"/>
    <n v="2005"/>
    <x v="14"/>
    <x v="0"/>
    <x v="0"/>
    <n v="7.14"/>
    <n v="45.59"/>
    <n v="159.18"/>
    <n v="167.61"/>
    <n v="3.68"/>
    <n v="5.55"/>
    <n v="1.36"/>
    <n v="1"/>
    <n v="0"/>
    <x v="0"/>
  </r>
  <r>
    <s v="India"/>
    <n v="2005"/>
    <x v="0"/>
    <x v="0"/>
    <x v="0"/>
    <n v="7.53"/>
    <n v="20.77"/>
    <n v="142.93"/>
    <n v="173.99"/>
    <n v="8.3800000000000008"/>
    <n v="7.25"/>
    <n v="1.77"/>
    <n v="1"/>
    <n v="0"/>
    <x v="0"/>
  </r>
  <r>
    <s v="India"/>
    <n v="2005"/>
    <x v="30"/>
    <x v="1"/>
    <x v="0"/>
    <n v="6.2"/>
    <n v="44.11"/>
    <n v="106.24"/>
    <n v="201.41"/>
    <n v="4.57"/>
    <n v="8.42"/>
    <n v="2.06"/>
    <n v="0"/>
    <n v="0"/>
    <x v="1"/>
  </r>
  <r>
    <s v="India"/>
    <n v="2005"/>
    <x v="13"/>
    <x v="1"/>
    <x v="1"/>
    <n v="8.9700000000000006"/>
    <n v="36.61"/>
    <n v="116.64"/>
    <n v="236.74"/>
    <n v="6.47"/>
    <n v="13.87"/>
    <n v="3.39"/>
    <n v="1"/>
    <n v="1"/>
    <x v="1"/>
  </r>
  <r>
    <s v="India"/>
    <n v="2005"/>
    <x v="31"/>
    <x v="1"/>
    <x v="1"/>
    <n v="8.9600000000000009"/>
    <n v="41.27"/>
    <n v="171.44"/>
    <n v="207.99"/>
    <n v="5.04"/>
    <n v="11.45"/>
    <n v="2.8"/>
    <n v="1"/>
    <n v="1"/>
    <x v="1"/>
  </r>
  <r>
    <s v="India"/>
    <n v="2005"/>
    <x v="22"/>
    <x v="1"/>
    <x v="0"/>
    <n v="7.54"/>
    <n v="39.590000000000003"/>
    <n v="173.84"/>
    <n v="148.53"/>
    <n v="3.75"/>
    <n v="9.4700000000000006"/>
    <n v="2.3199999999999998"/>
    <n v="1"/>
    <n v="0"/>
    <x v="1"/>
  </r>
  <r>
    <s v="India"/>
    <n v="2005"/>
    <x v="12"/>
    <x v="0"/>
    <x v="0"/>
    <n v="7.64"/>
    <n v="43.68"/>
    <n v="147.19"/>
    <n v="218.34"/>
    <n v="5"/>
    <n v="10.01"/>
    <n v="2.4500000000000002"/>
    <n v="1"/>
    <n v="0"/>
    <x v="1"/>
  </r>
  <r>
    <s v="India"/>
    <n v="2005"/>
    <x v="32"/>
    <x v="0"/>
    <x v="0"/>
    <n v="7.7"/>
    <n v="43.99"/>
    <n v="176.04"/>
    <n v="214.36"/>
    <n v="4.87"/>
    <n v="5.48"/>
    <n v="1.34"/>
    <n v="1"/>
    <n v="0"/>
    <x v="1"/>
  </r>
  <r>
    <s v="India"/>
    <n v="2005"/>
    <x v="33"/>
    <x v="0"/>
    <x v="3"/>
    <n v="4.21"/>
    <n v="45.77"/>
    <n v="131.43"/>
    <n v="202.62"/>
    <n v="4.43"/>
    <n v="2.84"/>
    <n v="0.69"/>
    <n v="0"/>
    <n v="0"/>
    <x v="1"/>
  </r>
  <r>
    <s v="India"/>
    <n v="2005"/>
    <x v="2"/>
    <x v="0"/>
    <x v="2"/>
    <n v="4.83"/>
    <n v="59.53"/>
    <n v="107.79"/>
    <n v="116.09"/>
    <n v="1.95"/>
    <n v="3.13"/>
    <n v="0.77"/>
    <n v="0"/>
    <n v="0"/>
    <x v="2"/>
  </r>
  <r>
    <s v="India"/>
    <n v="2005"/>
    <x v="30"/>
    <x v="0"/>
    <x v="0"/>
    <n v="7.17"/>
    <n v="43.29"/>
    <n v="138.15"/>
    <n v="185.2"/>
    <n v="4.28"/>
    <n v="4.95"/>
    <n v="1.21"/>
    <n v="1"/>
    <n v="0"/>
    <x v="0"/>
  </r>
  <r>
    <s v="India"/>
    <n v="2005"/>
    <x v="34"/>
    <x v="0"/>
    <x v="1"/>
    <n v="6.71"/>
    <n v="42.9"/>
    <n v="78.180000000000007"/>
    <n v="133.12"/>
    <n v="3.1"/>
    <n v="12.64"/>
    <n v="3.09"/>
    <n v="1"/>
    <n v="1"/>
    <x v="2"/>
  </r>
  <r>
    <s v="India"/>
    <n v="2006"/>
    <x v="35"/>
    <x v="1"/>
    <x v="0"/>
    <n v="5.18"/>
    <n v="40.07"/>
    <n v="132.57"/>
    <n v="170.89"/>
    <n v="4.26"/>
    <n v="8.2799999999999994"/>
    <n v="2.02"/>
    <n v="0"/>
    <n v="0"/>
    <x v="0"/>
  </r>
  <r>
    <s v="India"/>
    <n v="2006"/>
    <x v="24"/>
    <x v="0"/>
    <x v="2"/>
    <n v="6.44"/>
    <n v="48.55"/>
    <n v="116.44"/>
    <n v="165.91"/>
    <n v="3.42"/>
    <n v="8.76"/>
    <n v="2.14"/>
    <n v="0"/>
    <n v="0"/>
    <x v="2"/>
  </r>
  <r>
    <s v="India"/>
    <n v="2006"/>
    <x v="36"/>
    <x v="1"/>
    <x v="0"/>
    <n v="7.6"/>
    <n v="32.270000000000003"/>
    <n v="145.04"/>
    <n v="201.78"/>
    <n v="6.25"/>
    <n v="6.55"/>
    <n v="1.6"/>
    <n v="1"/>
    <n v="0"/>
    <x v="1"/>
  </r>
  <r>
    <s v="India"/>
    <n v="2006"/>
    <x v="11"/>
    <x v="0"/>
    <x v="0"/>
    <n v="5.73"/>
    <n v="43.69"/>
    <n v="114.16"/>
    <n v="209.03"/>
    <n v="4.78"/>
    <n v="13.88"/>
    <n v="3.39"/>
    <n v="0"/>
    <n v="1"/>
    <x v="1"/>
  </r>
  <r>
    <s v="India"/>
    <n v="2006"/>
    <x v="32"/>
    <x v="0"/>
    <x v="0"/>
    <n v="8.07"/>
    <n v="46.11"/>
    <n v="142.88"/>
    <n v="66.53"/>
    <n v="1.44"/>
    <n v="9.58"/>
    <n v="2.34"/>
    <n v="1"/>
    <n v="0"/>
    <x v="0"/>
  </r>
  <r>
    <s v="India"/>
    <n v="2006"/>
    <x v="37"/>
    <x v="1"/>
    <x v="0"/>
    <n v="9.85"/>
    <n v="50.27"/>
    <n v="124"/>
    <n v="220.78"/>
    <n v="4.3899999999999997"/>
    <n v="10.31"/>
    <n v="2.52"/>
    <n v="1"/>
    <n v="1"/>
    <x v="1"/>
  </r>
  <r>
    <s v="India"/>
    <n v="2006"/>
    <x v="38"/>
    <x v="1"/>
    <x v="2"/>
    <n v="6.1"/>
    <n v="64.400000000000006"/>
    <n v="132.68"/>
    <n v="176.49"/>
    <n v="2.74"/>
    <n v="4.37"/>
    <n v="1.07"/>
    <n v="0"/>
    <n v="0"/>
    <x v="0"/>
  </r>
  <r>
    <s v="India"/>
    <n v="2006"/>
    <x v="39"/>
    <x v="0"/>
    <x v="1"/>
    <n v="6.79"/>
    <n v="42.61"/>
    <n v="136.97999999999999"/>
    <n v="178.21"/>
    <n v="4.18"/>
    <n v="6.47"/>
    <n v="1.58"/>
    <n v="1"/>
    <n v="0"/>
    <x v="0"/>
  </r>
  <r>
    <s v="India"/>
    <n v="2006"/>
    <x v="13"/>
    <x v="1"/>
    <x v="1"/>
    <n v="7.8"/>
    <n v="45.16"/>
    <n v="153.44"/>
    <n v="215.46"/>
    <n v="4.7699999999999996"/>
    <n v="10.7"/>
    <n v="2.61"/>
    <n v="1"/>
    <n v="1"/>
    <x v="1"/>
  </r>
  <r>
    <s v="India"/>
    <n v="2006"/>
    <x v="22"/>
    <x v="0"/>
    <x v="0"/>
    <n v="8.61"/>
    <n v="27.78"/>
    <n v="126.9"/>
    <n v="171.45"/>
    <n v="6.17"/>
    <n v="8.0299999999999994"/>
    <n v="1.96"/>
    <n v="1"/>
    <n v="0"/>
    <x v="2"/>
  </r>
  <r>
    <s v="India"/>
    <n v="2006"/>
    <x v="40"/>
    <x v="1"/>
    <x v="1"/>
    <n v="6.49"/>
    <n v="53.3"/>
    <n v="118.43"/>
    <n v="217.07"/>
    <n v="4.07"/>
    <n v="13.1"/>
    <n v="3.2"/>
    <n v="0"/>
    <n v="1"/>
    <x v="1"/>
  </r>
  <r>
    <s v="India"/>
    <n v="2006"/>
    <x v="22"/>
    <x v="1"/>
    <x v="0"/>
    <n v="7.65"/>
    <n v="42.62"/>
    <n v="97.08"/>
    <n v="183.05"/>
    <n v="4.3"/>
    <n v="10.56"/>
    <n v="2.58"/>
    <n v="1"/>
    <n v="1"/>
    <x v="2"/>
  </r>
  <r>
    <s v="India"/>
    <n v="2006"/>
    <x v="41"/>
    <x v="1"/>
    <x v="1"/>
    <n v="9.5"/>
    <n v="32.409999999999997"/>
    <n v="145.16"/>
    <n v="164.85"/>
    <n v="5.09"/>
    <n v="5.26"/>
    <n v="1.29"/>
    <n v="1"/>
    <n v="0"/>
    <x v="0"/>
  </r>
  <r>
    <s v="India"/>
    <n v="2006"/>
    <x v="7"/>
    <x v="0"/>
    <x v="0"/>
    <n v="6.78"/>
    <n v="50.49"/>
    <n v="120.14"/>
    <n v="105.83"/>
    <n v="2.1"/>
    <n v="4.91"/>
    <n v="1.2"/>
    <n v="1"/>
    <n v="0"/>
    <x v="2"/>
  </r>
  <r>
    <s v="India"/>
    <n v="2006"/>
    <x v="42"/>
    <x v="0"/>
    <x v="1"/>
    <n v="9.23"/>
    <n v="43.24"/>
    <n v="160.08000000000001"/>
    <n v="200.07"/>
    <n v="4.63"/>
    <n v="4.74"/>
    <n v="1.1599999999999999"/>
    <n v="1"/>
    <n v="0"/>
    <x v="1"/>
  </r>
  <r>
    <s v="India"/>
    <n v="2006"/>
    <x v="42"/>
    <x v="0"/>
    <x v="1"/>
    <n v="7.68"/>
    <n v="38.53"/>
    <n v="126.5"/>
    <n v="185.42"/>
    <n v="4.8099999999999996"/>
    <n v="6.24"/>
    <n v="1.53"/>
    <n v="1"/>
    <n v="0"/>
    <x v="2"/>
  </r>
  <r>
    <s v="India"/>
    <n v="2006"/>
    <x v="43"/>
    <x v="0"/>
    <x v="0"/>
    <n v="7.89"/>
    <n v="43.24"/>
    <n v="133.41999999999999"/>
    <n v="222.37"/>
    <n v="5.14"/>
    <n v="13.14"/>
    <n v="3.21"/>
    <n v="1"/>
    <n v="1"/>
    <x v="1"/>
  </r>
  <r>
    <s v="India"/>
    <n v="2006"/>
    <x v="21"/>
    <x v="0"/>
    <x v="3"/>
    <n v="6.47"/>
    <n v="47.22"/>
    <n v="118.13"/>
    <n v="185.74"/>
    <n v="3.93"/>
    <n v="6.14"/>
    <n v="1.5"/>
    <n v="0"/>
    <n v="0"/>
    <x v="2"/>
  </r>
  <r>
    <s v="India"/>
    <n v="2006"/>
    <x v="44"/>
    <x v="0"/>
    <x v="1"/>
    <n v="7.69"/>
    <n v="37.840000000000003"/>
    <n v="192.28"/>
    <n v="276.54000000000002"/>
    <n v="7.31"/>
    <n v="12.45"/>
    <n v="3.04"/>
    <n v="1"/>
    <n v="1"/>
    <x v="1"/>
  </r>
  <r>
    <s v="India"/>
    <n v="2006"/>
    <x v="9"/>
    <x v="0"/>
    <x v="2"/>
    <n v="7.15"/>
    <n v="56.36"/>
    <n v="131.02000000000001"/>
    <n v="176.85"/>
    <n v="3.14"/>
    <n v="7.61"/>
    <n v="1.86"/>
    <n v="1"/>
    <n v="0"/>
    <x v="0"/>
  </r>
  <r>
    <s v="India"/>
    <n v="2006"/>
    <x v="17"/>
    <x v="0"/>
    <x v="0"/>
    <n v="8.06"/>
    <n v="45.37"/>
    <n v="132.81"/>
    <n v="152.38"/>
    <n v="3.36"/>
    <n v="6.45"/>
    <n v="1.58"/>
    <n v="1"/>
    <n v="0"/>
    <x v="0"/>
  </r>
  <r>
    <s v="India"/>
    <n v="2006"/>
    <x v="5"/>
    <x v="0"/>
    <x v="2"/>
    <n v="5.1100000000000003"/>
    <n v="54.1"/>
    <n v="128.30000000000001"/>
    <n v="219.95"/>
    <n v="4.07"/>
    <n v="11.31"/>
    <n v="2.77"/>
    <n v="0"/>
    <n v="1"/>
    <x v="1"/>
  </r>
  <r>
    <s v="India"/>
    <n v="2006"/>
    <x v="30"/>
    <x v="0"/>
    <x v="0"/>
    <n v="7.09"/>
    <n v="57.91"/>
    <n v="134.58000000000001"/>
    <n v="138.51"/>
    <n v="2.39"/>
    <n v="5.87"/>
    <n v="1.43"/>
    <n v="1"/>
    <n v="0"/>
    <x v="0"/>
  </r>
  <r>
    <s v="India"/>
    <n v="2006"/>
    <x v="45"/>
    <x v="0"/>
    <x v="2"/>
    <n v="5.67"/>
    <n v="65.95"/>
    <n v="113.22"/>
    <n v="119.4"/>
    <n v="1.81"/>
    <n v="9.51"/>
    <n v="2.33"/>
    <n v="0"/>
    <n v="0"/>
    <x v="2"/>
  </r>
  <r>
    <s v="India"/>
    <n v="2006"/>
    <x v="13"/>
    <x v="1"/>
    <x v="1"/>
    <n v="6.68"/>
    <n v="37.25"/>
    <n v="188.27"/>
    <n v="245.97"/>
    <n v="6.6"/>
    <n v="7.97"/>
    <n v="1.95"/>
    <n v="1"/>
    <n v="0"/>
    <x v="1"/>
  </r>
  <r>
    <s v="India"/>
    <n v="2006"/>
    <x v="46"/>
    <x v="0"/>
    <x v="0"/>
    <n v="5.55"/>
    <n v="39.840000000000003"/>
    <n v="155.43"/>
    <n v="214.98"/>
    <n v="5.4"/>
    <n v="7.79"/>
    <n v="1.9"/>
    <n v="0"/>
    <n v="0"/>
    <x v="1"/>
  </r>
  <r>
    <s v="India"/>
    <n v="2006"/>
    <x v="47"/>
    <x v="0"/>
    <x v="0"/>
    <n v="6.35"/>
    <n v="53.21"/>
    <n v="125.15"/>
    <n v="294.45"/>
    <n v="5.53"/>
    <n v="3.45"/>
    <n v="0.84"/>
    <n v="0"/>
    <n v="0"/>
    <x v="1"/>
  </r>
  <r>
    <s v="India"/>
    <n v="2006"/>
    <x v="6"/>
    <x v="1"/>
    <x v="1"/>
    <n v="9.27"/>
    <n v="40.26"/>
    <n v="121.87"/>
    <n v="181.16"/>
    <n v="4.5"/>
    <n v="8.64"/>
    <n v="2.11"/>
    <n v="1"/>
    <n v="0"/>
    <x v="2"/>
  </r>
  <r>
    <s v="India"/>
    <n v="2006"/>
    <x v="48"/>
    <x v="0"/>
    <x v="0"/>
    <n v="6.78"/>
    <n v="44.58"/>
    <n v="129.84"/>
    <n v="185.92"/>
    <n v="4.17"/>
    <n v="7.79"/>
    <n v="1.9"/>
    <n v="1"/>
    <n v="0"/>
    <x v="2"/>
  </r>
  <r>
    <s v="India"/>
    <n v="2006"/>
    <x v="30"/>
    <x v="1"/>
    <x v="0"/>
    <n v="6.87"/>
    <n v="36.799999999999997"/>
    <n v="146.49"/>
    <n v="118.68"/>
    <n v="3.23"/>
    <n v="5.43"/>
    <n v="1.33"/>
    <n v="1"/>
    <n v="0"/>
    <x v="0"/>
  </r>
  <r>
    <s v="India"/>
    <n v="2006"/>
    <x v="41"/>
    <x v="1"/>
    <x v="1"/>
    <n v="10.3"/>
    <n v="51.73"/>
    <n v="105.48"/>
    <n v="176.28"/>
    <n v="3.41"/>
    <n v="2.54"/>
    <n v="0.62"/>
    <n v="1"/>
    <n v="0"/>
    <x v="2"/>
  </r>
  <r>
    <s v="India"/>
    <n v="2006"/>
    <x v="20"/>
    <x v="1"/>
    <x v="1"/>
    <n v="6.92"/>
    <n v="33.61"/>
    <n v="160.79"/>
    <n v="193.43"/>
    <n v="5.75"/>
    <n v="9.56"/>
    <n v="2.34"/>
    <n v="1"/>
    <n v="0"/>
    <x v="1"/>
  </r>
  <r>
    <s v="India"/>
    <n v="2006"/>
    <x v="42"/>
    <x v="0"/>
    <x v="1"/>
    <n v="9.2100000000000009"/>
    <n v="37.93"/>
    <n v="147.43"/>
    <n v="212.6"/>
    <n v="5.6"/>
    <n v="11.18"/>
    <n v="2.73"/>
    <n v="1"/>
    <n v="1"/>
    <x v="1"/>
  </r>
  <r>
    <s v="India"/>
    <n v="2006"/>
    <x v="45"/>
    <x v="1"/>
    <x v="2"/>
    <n v="8.02"/>
    <n v="56.03"/>
    <n v="148.81"/>
    <n v="218.42"/>
    <n v="3.9"/>
    <n v="7.62"/>
    <n v="1.86"/>
    <n v="1"/>
    <n v="0"/>
    <x v="1"/>
  </r>
  <r>
    <s v="India"/>
    <n v="2006"/>
    <x v="49"/>
    <x v="1"/>
    <x v="0"/>
    <n v="4.96"/>
    <n v="57.88"/>
    <n v="141.24"/>
    <n v="249.79"/>
    <n v="4.32"/>
    <n v="10.210000000000001"/>
    <n v="2.5"/>
    <n v="0"/>
    <n v="0"/>
    <x v="1"/>
  </r>
  <r>
    <s v="India"/>
    <n v="2006"/>
    <x v="17"/>
    <x v="1"/>
    <x v="0"/>
    <n v="5.56"/>
    <n v="45.72"/>
    <n v="109.93"/>
    <n v="257.85000000000002"/>
    <n v="5.64"/>
    <n v="3.32"/>
    <n v="0.81"/>
    <n v="0"/>
    <n v="0"/>
    <x v="1"/>
  </r>
  <r>
    <s v="India"/>
    <n v="2006"/>
    <x v="50"/>
    <x v="0"/>
    <x v="1"/>
    <n v="10.220000000000001"/>
    <n v="42.9"/>
    <n v="178.37"/>
    <n v="282.25"/>
    <n v="6.58"/>
    <n v="15.21"/>
    <n v="3.72"/>
    <n v="1"/>
    <n v="1"/>
    <x v="1"/>
  </r>
  <r>
    <s v="India"/>
    <n v="2006"/>
    <x v="32"/>
    <x v="1"/>
    <x v="0"/>
    <n v="7.43"/>
    <n v="53.12"/>
    <n v="138.76"/>
    <n v="242.13"/>
    <n v="4.5599999999999996"/>
    <n v="6.03"/>
    <n v="1.47"/>
    <n v="1"/>
    <n v="0"/>
    <x v="1"/>
  </r>
  <r>
    <s v="India"/>
    <n v="2006"/>
    <x v="24"/>
    <x v="1"/>
    <x v="2"/>
    <n v="7.18"/>
    <n v="41.41"/>
    <n v="175.4"/>
    <n v="169.51"/>
    <n v="4.09"/>
    <n v="4.84"/>
    <n v="1.18"/>
    <n v="1"/>
    <n v="0"/>
    <x v="1"/>
  </r>
  <r>
    <s v="India"/>
    <n v="2006"/>
    <x v="51"/>
    <x v="1"/>
    <x v="2"/>
    <n v="4.72"/>
    <n v="57.29"/>
    <n v="159.03"/>
    <n v="119.35"/>
    <n v="2.08"/>
    <n v="8.07"/>
    <n v="1.97"/>
    <n v="0"/>
    <n v="0"/>
    <x v="0"/>
  </r>
  <r>
    <s v="India"/>
    <n v="2006"/>
    <x v="11"/>
    <x v="0"/>
    <x v="0"/>
    <n v="6.94"/>
    <n v="40.950000000000003"/>
    <n v="150.09"/>
    <n v="124.32"/>
    <n v="3.04"/>
    <n v="13.42"/>
    <n v="3.28"/>
    <n v="1"/>
    <n v="1"/>
    <x v="0"/>
  </r>
  <r>
    <s v="India"/>
    <n v="2006"/>
    <x v="52"/>
    <x v="1"/>
    <x v="1"/>
    <n v="6.8"/>
    <n v="52.79"/>
    <n v="129.06"/>
    <n v="334.02"/>
    <n v="6.33"/>
    <n v="10.63"/>
    <n v="2.6"/>
    <n v="1"/>
    <n v="1"/>
    <x v="1"/>
  </r>
  <r>
    <s v="India"/>
    <n v="2006"/>
    <x v="48"/>
    <x v="1"/>
    <x v="0"/>
    <n v="7.41"/>
    <n v="34.14"/>
    <n v="140.88999999999999"/>
    <n v="194.21"/>
    <n v="5.69"/>
    <n v="10.63"/>
    <n v="2.6"/>
    <n v="1"/>
    <n v="1"/>
    <x v="0"/>
  </r>
  <r>
    <s v="India"/>
    <n v="2006"/>
    <x v="26"/>
    <x v="0"/>
    <x v="0"/>
    <n v="6.21"/>
    <n v="31.48"/>
    <n v="150.37"/>
    <n v="125.71"/>
    <n v="3.99"/>
    <n v="6.98"/>
    <n v="1.71"/>
    <n v="0"/>
    <n v="0"/>
    <x v="0"/>
  </r>
  <r>
    <s v="India"/>
    <n v="2006"/>
    <x v="53"/>
    <x v="1"/>
    <x v="1"/>
    <n v="7.59"/>
    <n v="22.46"/>
    <n v="159.84"/>
    <n v="137.58000000000001"/>
    <n v="6.13"/>
    <n v="12.06"/>
    <n v="2.95"/>
    <n v="1"/>
    <n v="1"/>
    <x v="0"/>
  </r>
  <r>
    <s v="India"/>
    <n v="2006"/>
    <x v="15"/>
    <x v="0"/>
    <x v="0"/>
    <n v="5.66"/>
    <n v="32.42"/>
    <n v="148.69999999999999"/>
    <n v="147.56"/>
    <n v="4.55"/>
    <n v="2.66"/>
    <n v="0.65"/>
    <n v="0"/>
    <n v="0"/>
    <x v="0"/>
  </r>
  <r>
    <s v="India"/>
    <n v="2006"/>
    <x v="40"/>
    <x v="0"/>
    <x v="1"/>
    <n v="8.93"/>
    <n v="29.23"/>
    <n v="187.85"/>
    <n v="142.51"/>
    <n v="4.87"/>
    <n v="8.4600000000000009"/>
    <n v="2.0699999999999998"/>
    <n v="1"/>
    <n v="0"/>
    <x v="1"/>
  </r>
  <r>
    <s v="India"/>
    <n v="2006"/>
    <x v="54"/>
    <x v="0"/>
    <x v="2"/>
    <n v="5.93"/>
    <n v="53.97"/>
    <n v="163"/>
    <n v="164.47"/>
    <n v="3.05"/>
    <n v="2.2599999999999998"/>
    <n v="0.55000000000000004"/>
    <n v="0"/>
    <n v="0"/>
    <x v="1"/>
  </r>
  <r>
    <s v="India"/>
    <n v="2006"/>
    <x v="13"/>
    <x v="0"/>
    <x v="1"/>
    <n v="8.2200000000000006"/>
    <n v="39.65"/>
    <n v="153.32"/>
    <n v="215.26"/>
    <n v="5.43"/>
    <n v="14.42"/>
    <n v="3.52"/>
    <n v="1"/>
    <n v="1"/>
    <x v="1"/>
  </r>
  <r>
    <s v="India"/>
    <n v="2006"/>
    <x v="55"/>
    <x v="0"/>
    <x v="1"/>
    <n v="7.76"/>
    <n v="47.42"/>
    <n v="142.66999999999999"/>
    <n v="175.78"/>
    <n v="3.71"/>
    <n v="6.43"/>
    <n v="1.57"/>
    <n v="1"/>
    <n v="0"/>
    <x v="0"/>
  </r>
  <r>
    <s v="India"/>
    <n v="2007"/>
    <x v="48"/>
    <x v="0"/>
    <x v="0"/>
    <n v="7.29"/>
    <n v="57.24"/>
    <n v="184.39"/>
    <n v="182.24"/>
    <n v="3.18"/>
    <n v="7.65"/>
    <n v="1.87"/>
    <n v="1"/>
    <n v="0"/>
    <x v="1"/>
  </r>
  <r>
    <s v="India"/>
    <n v="2007"/>
    <x v="42"/>
    <x v="0"/>
    <x v="1"/>
    <n v="8.1"/>
    <n v="40.79"/>
    <n v="159.51"/>
    <n v="107.37"/>
    <n v="2.63"/>
    <n v="7.97"/>
    <n v="1.95"/>
    <n v="1"/>
    <n v="0"/>
    <x v="0"/>
  </r>
  <r>
    <s v="India"/>
    <n v="2007"/>
    <x v="56"/>
    <x v="1"/>
    <x v="1"/>
    <n v="8.51"/>
    <n v="49.71"/>
    <n v="138.75"/>
    <n v="256.08999999999997"/>
    <n v="5.15"/>
    <n v="12.41"/>
    <n v="3.03"/>
    <n v="1"/>
    <n v="1"/>
    <x v="1"/>
  </r>
  <r>
    <s v="India"/>
    <n v="2007"/>
    <x v="6"/>
    <x v="0"/>
    <x v="1"/>
    <n v="8.1"/>
    <n v="45.36"/>
    <n v="215.63"/>
    <n v="214.45"/>
    <n v="4.7300000000000004"/>
    <n v="9.27"/>
    <n v="2.27"/>
    <n v="1"/>
    <n v="0"/>
    <x v="1"/>
  </r>
  <r>
    <s v="India"/>
    <n v="2007"/>
    <x v="49"/>
    <x v="1"/>
    <x v="0"/>
    <n v="5.91"/>
    <n v="66.63"/>
    <n v="92.58"/>
    <n v="256.01"/>
    <n v="3.84"/>
    <n v="6"/>
    <n v="1.47"/>
    <n v="0"/>
    <n v="0"/>
    <x v="1"/>
  </r>
  <r>
    <s v="India"/>
    <n v="2007"/>
    <x v="22"/>
    <x v="1"/>
    <x v="0"/>
    <n v="6.99"/>
    <n v="54.25"/>
    <n v="138.01"/>
    <n v="180.3"/>
    <n v="3.32"/>
    <n v="13.78"/>
    <n v="3.37"/>
    <n v="1"/>
    <n v="1"/>
    <x v="0"/>
  </r>
  <r>
    <s v="India"/>
    <n v="2007"/>
    <x v="48"/>
    <x v="0"/>
    <x v="0"/>
    <n v="8.81"/>
    <n v="53.16"/>
    <n v="191.42"/>
    <n v="185.91"/>
    <n v="3.5"/>
    <n v="11.23"/>
    <n v="2.74"/>
    <n v="1"/>
    <n v="1"/>
    <x v="1"/>
  </r>
  <r>
    <s v="India"/>
    <n v="2007"/>
    <x v="26"/>
    <x v="1"/>
    <x v="0"/>
    <n v="7.48"/>
    <n v="33.479999999999997"/>
    <n v="132.41"/>
    <n v="240.03"/>
    <n v="7.17"/>
    <n v="10.220000000000001"/>
    <n v="2.5"/>
    <n v="1"/>
    <n v="0"/>
    <x v="1"/>
  </r>
  <r>
    <s v="India"/>
    <n v="2007"/>
    <x v="57"/>
    <x v="0"/>
    <x v="0"/>
    <n v="6.81"/>
    <n v="58.65"/>
    <n v="119.37"/>
    <n v="79.41"/>
    <n v="1.35"/>
    <n v="4.8"/>
    <n v="1.17"/>
    <n v="1"/>
    <n v="0"/>
    <x v="2"/>
  </r>
  <r>
    <s v="India"/>
    <n v="2007"/>
    <x v="58"/>
    <x v="1"/>
    <x v="3"/>
    <n v="5.05"/>
    <n v="44.89"/>
    <n v="144.28"/>
    <n v="205.59"/>
    <n v="4.58"/>
    <n v="3.65"/>
    <n v="0.89"/>
    <n v="0"/>
    <n v="0"/>
    <x v="1"/>
  </r>
  <r>
    <s v="India"/>
    <n v="2007"/>
    <x v="59"/>
    <x v="1"/>
    <x v="0"/>
    <n v="7.22"/>
    <n v="54.9"/>
    <n v="103.21"/>
    <n v="144.65"/>
    <n v="2.63"/>
    <n v="7.78"/>
    <n v="1.9"/>
    <n v="1"/>
    <n v="0"/>
    <x v="2"/>
  </r>
  <r>
    <s v="India"/>
    <n v="2007"/>
    <x v="60"/>
    <x v="1"/>
    <x v="0"/>
    <n v="7.93"/>
    <n v="33.24"/>
    <n v="114.63"/>
    <n v="228.11"/>
    <n v="6.86"/>
    <n v="14.28"/>
    <n v="3.49"/>
    <n v="1"/>
    <n v="1"/>
    <x v="1"/>
  </r>
  <r>
    <s v="India"/>
    <n v="2007"/>
    <x v="31"/>
    <x v="1"/>
    <x v="1"/>
    <n v="8.3699999999999992"/>
    <n v="47.48"/>
    <n v="135.91999999999999"/>
    <n v="175.55"/>
    <n v="3.7"/>
    <n v="15.35"/>
    <n v="3.75"/>
    <n v="1"/>
    <n v="1"/>
    <x v="0"/>
  </r>
  <r>
    <s v="India"/>
    <n v="2007"/>
    <x v="38"/>
    <x v="1"/>
    <x v="2"/>
    <n v="5.83"/>
    <n v="52.66"/>
    <n v="153.56"/>
    <n v="151.07"/>
    <n v="2.87"/>
    <n v="3.86"/>
    <n v="0.94"/>
    <n v="0"/>
    <n v="0"/>
    <x v="0"/>
  </r>
  <r>
    <s v="India"/>
    <n v="2007"/>
    <x v="61"/>
    <x v="0"/>
    <x v="1"/>
    <n v="4.8"/>
    <n v="62.38"/>
    <n v="155.43"/>
    <n v="321.04000000000002"/>
    <n v="5.15"/>
    <n v="9.89"/>
    <n v="2.42"/>
    <n v="0"/>
    <n v="0"/>
    <x v="1"/>
  </r>
  <r>
    <s v="India"/>
    <n v="2007"/>
    <x v="1"/>
    <x v="0"/>
    <x v="1"/>
    <n v="8.68"/>
    <n v="43.37"/>
    <n v="127.18"/>
    <n v="217.78"/>
    <n v="5.0199999999999996"/>
    <n v="12.77"/>
    <n v="3.12"/>
    <n v="1"/>
    <n v="1"/>
    <x v="1"/>
  </r>
  <r>
    <s v="India"/>
    <n v="2007"/>
    <x v="62"/>
    <x v="0"/>
    <x v="0"/>
    <n v="8.32"/>
    <n v="57.1"/>
    <n v="187.47"/>
    <n v="157.18"/>
    <n v="2.75"/>
    <n v="7.77"/>
    <n v="1.9"/>
    <n v="1"/>
    <n v="0"/>
    <x v="1"/>
  </r>
  <r>
    <s v="India"/>
    <n v="2007"/>
    <x v="47"/>
    <x v="1"/>
    <x v="0"/>
    <n v="5.77"/>
    <n v="25.59"/>
    <n v="172.55"/>
    <n v="195.89"/>
    <n v="7.65"/>
    <n v="3.56"/>
    <n v="0.87"/>
    <n v="0"/>
    <n v="0"/>
    <x v="1"/>
  </r>
  <r>
    <s v="India"/>
    <n v="2007"/>
    <x v="1"/>
    <x v="0"/>
    <x v="1"/>
    <n v="7.28"/>
    <n v="41.18"/>
    <n v="180.19"/>
    <n v="257.14"/>
    <n v="6.24"/>
    <n v="8.0500000000000007"/>
    <n v="1.97"/>
    <n v="1"/>
    <n v="0"/>
    <x v="1"/>
  </r>
  <r>
    <s v="India"/>
    <n v="2007"/>
    <x v="10"/>
    <x v="1"/>
    <x v="0"/>
    <n v="6.87"/>
    <n v="24.19"/>
    <n v="159.47"/>
    <n v="148.51"/>
    <n v="6.14"/>
    <n v="9.1999999999999993"/>
    <n v="2.25"/>
    <n v="1"/>
    <n v="0"/>
    <x v="0"/>
  </r>
  <r>
    <s v="India"/>
    <n v="2007"/>
    <x v="63"/>
    <x v="1"/>
    <x v="1"/>
    <n v="9.64"/>
    <n v="32.409999999999997"/>
    <n v="115.84"/>
    <n v="192.32"/>
    <n v="5.93"/>
    <n v="12.12"/>
    <n v="2.96"/>
    <n v="1"/>
    <n v="1"/>
    <x v="2"/>
  </r>
  <r>
    <s v="India"/>
    <n v="2007"/>
    <x v="62"/>
    <x v="1"/>
    <x v="0"/>
    <n v="8.49"/>
    <n v="39.04"/>
    <n v="106.27"/>
    <n v="219.46"/>
    <n v="5.62"/>
    <n v="4.21"/>
    <n v="1.03"/>
    <n v="1"/>
    <n v="0"/>
    <x v="1"/>
  </r>
  <r>
    <s v="India"/>
    <n v="2007"/>
    <x v="43"/>
    <x v="1"/>
    <x v="0"/>
    <n v="8.4499999999999993"/>
    <n v="31.77"/>
    <n v="173.86"/>
    <n v="105.61"/>
    <n v="3.32"/>
    <n v="7.04"/>
    <n v="1.72"/>
    <n v="1"/>
    <n v="0"/>
    <x v="1"/>
  </r>
  <r>
    <s v="India"/>
    <n v="2007"/>
    <x v="64"/>
    <x v="1"/>
    <x v="0"/>
    <n v="6.95"/>
    <n v="42.05"/>
    <n v="180.53"/>
    <n v="194.71"/>
    <n v="4.63"/>
    <n v="15.26"/>
    <n v="3.73"/>
    <n v="1"/>
    <n v="1"/>
    <x v="1"/>
  </r>
  <r>
    <s v="India"/>
    <n v="2007"/>
    <x v="65"/>
    <x v="1"/>
    <x v="3"/>
    <n v="7.57"/>
    <n v="44.11"/>
    <n v="76.03"/>
    <n v="163.72999999999999"/>
    <n v="3.71"/>
    <n v="1.62"/>
    <n v="0.4"/>
    <n v="1"/>
    <n v="0"/>
    <x v="2"/>
  </r>
  <r>
    <s v="India"/>
    <n v="2007"/>
    <x v="66"/>
    <x v="1"/>
    <x v="0"/>
    <n v="5"/>
    <n v="45.17"/>
    <n v="114.99"/>
    <n v="207.21"/>
    <n v="4.59"/>
    <n v="7.7"/>
    <n v="1.88"/>
    <n v="0"/>
    <n v="0"/>
    <x v="1"/>
  </r>
  <r>
    <s v="India"/>
    <n v="2007"/>
    <x v="23"/>
    <x v="1"/>
    <x v="0"/>
    <n v="6.33"/>
    <n v="45.26"/>
    <n v="180.61"/>
    <n v="149.57"/>
    <n v="3.31"/>
    <n v="8.8800000000000008"/>
    <n v="2.17"/>
    <n v="0"/>
    <n v="0"/>
    <x v="1"/>
  </r>
  <r>
    <s v="India"/>
    <n v="2007"/>
    <x v="67"/>
    <x v="1"/>
    <x v="2"/>
    <n v="6.21"/>
    <n v="38.92"/>
    <n v="130.41999999999999"/>
    <n v="150.08000000000001"/>
    <n v="3.86"/>
    <n v="9.35"/>
    <n v="2.29"/>
    <n v="0"/>
    <n v="0"/>
    <x v="0"/>
  </r>
  <r>
    <s v="India"/>
    <n v="2007"/>
    <x v="50"/>
    <x v="1"/>
    <x v="1"/>
    <n v="6.61"/>
    <n v="42.64"/>
    <n v="158.13"/>
    <n v="174.33"/>
    <n v="4.09"/>
    <n v="11.89"/>
    <n v="2.91"/>
    <n v="1"/>
    <n v="1"/>
    <x v="0"/>
  </r>
  <r>
    <s v="India"/>
    <n v="2007"/>
    <x v="68"/>
    <x v="1"/>
    <x v="2"/>
    <n v="5.83"/>
    <n v="51.88"/>
    <n v="141.93"/>
    <n v="167.62"/>
    <n v="3.23"/>
    <n v="5.97"/>
    <n v="1.46"/>
    <n v="0"/>
    <n v="0"/>
    <x v="0"/>
  </r>
  <r>
    <s v="India"/>
    <n v="2007"/>
    <x v="18"/>
    <x v="0"/>
    <x v="3"/>
    <n v="5.81"/>
    <n v="45.99"/>
    <n v="81.14"/>
    <n v="114.52"/>
    <n v="2.4900000000000002"/>
    <n v="10.74"/>
    <n v="2.62"/>
    <n v="0"/>
    <n v="1"/>
    <x v="2"/>
  </r>
  <r>
    <s v="India"/>
    <n v="2007"/>
    <x v="21"/>
    <x v="1"/>
    <x v="3"/>
    <n v="7.08"/>
    <n v="41.3"/>
    <n v="145.69"/>
    <n v="190.99"/>
    <n v="4.62"/>
    <n v="8.0399999999999991"/>
    <n v="1.96"/>
    <n v="1"/>
    <n v="0"/>
    <x v="0"/>
  </r>
  <r>
    <s v="India"/>
    <n v="2007"/>
    <x v="6"/>
    <x v="1"/>
    <x v="1"/>
    <n v="8.17"/>
    <n v="47.2"/>
    <n v="120.5"/>
    <n v="230.87"/>
    <n v="4.8899999999999997"/>
    <n v="10.69"/>
    <n v="2.61"/>
    <n v="1"/>
    <n v="1"/>
    <x v="1"/>
  </r>
  <r>
    <s v="India"/>
    <n v="2007"/>
    <x v="20"/>
    <x v="0"/>
    <x v="1"/>
    <n v="6.84"/>
    <n v="34.06"/>
    <n v="191.37"/>
    <n v="185.07"/>
    <n v="5.43"/>
    <n v="7.41"/>
    <n v="1.81"/>
    <n v="1"/>
    <n v="0"/>
    <x v="1"/>
  </r>
  <r>
    <s v="India"/>
    <n v="2007"/>
    <x v="19"/>
    <x v="1"/>
    <x v="1"/>
    <n v="7.27"/>
    <n v="36.67"/>
    <n v="157.83000000000001"/>
    <n v="108.03"/>
    <n v="2.95"/>
    <n v="14.21"/>
    <n v="3.47"/>
    <n v="1"/>
    <n v="1"/>
    <x v="0"/>
  </r>
  <r>
    <s v="India"/>
    <n v="2007"/>
    <x v="69"/>
    <x v="0"/>
    <x v="0"/>
    <n v="8.2799999999999994"/>
    <n v="45.3"/>
    <n v="148.06"/>
    <n v="195.69"/>
    <n v="4.32"/>
    <n v="5.56"/>
    <n v="1.36"/>
    <n v="1"/>
    <n v="0"/>
    <x v="0"/>
  </r>
  <r>
    <s v="India"/>
    <n v="2007"/>
    <x v="50"/>
    <x v="1"/>
    <x v="1"/>
    <n v="7.49"/>
    <n v="36.4"/>
    <n v="113.94"/>
    <n v="291.83999999999997"/>
    <n v="8.02"/>
    <n v="10.76"/>
    <n v="2.63"/>
    <n v="1"/>
    <n v="1"/>
    <x v="1"/>
  </r>
  <r>
    <s v="India"/>
    <n v="2007"/>
    <x v="35"/>
    <x v="1"/>
    <x v="0"/>
    <n v="8.1300000000000008"/>
    <n v="39.130000000000003"/>
    <n v="147.25"/>
    <n v="205.85"/>
    <n v="5.26"/>
    <n v="1.32"/>
    <n v="0.32"/>
    <n v="1"/>
    <n v="0"/>
    <x v="1"/>
  </r>
  <r>
    <s v="India"/>
    <n v="2007"/>
    <x v="55"/>
    <x v="1"/>
    <x v="1"/>
    <n v="8.85"/>
    <n v="43.65"/>
    <n v="162.38999999999999"/>
    <n v="76.81"/>
    <n v="1.76"/>
    <n v="10.74"/>
    <n v="2.62"/>
    <n v="1"/>
    <n v="1"/>
    <x v="1"/>
  </r>
  <r>
    <s v="India"/>
    <n v="2007"/>
    <x v="34"/>
    <x v="1"/>
    <x v="1"/>
    <n v="7.72"/>
    <n v="55.63"/>
    <n v="143.37"/>
    <n v="127.63"/>
    <n v="2.29"/>
    <n v="4.72"/>
    <n v="1.1499999999999999"/>
    <n v="1"/>
    <n v="0"/>
    <x v="0"/>
  </r>
  <r>
    <s v="India"/>
    <n v="2007"/>
    <x v="17"/>
    <x v="1"/>
    <x v="0"/>
    <n v="6.96"/>
    <n v="40.1"/>
    <n v="87.02"/>
    <n v="209.92"/>
    <n v="5.24"/>
    <n v="8.36"/>
    <n v="2.04"/>
    <n v="1"/>
    <n v="0"/>
    <x v="1"/>
  </r>
  <r>
    <s v="India"/>
    <n v="2007"/>
    <x v="19"/>
    <x v="0"/>
    <x v="1"/>
    <n v="7.76"/>
    <n v="39.450000000000003"/>
    <n v="167.46"/>
    <n v="188.74"/>
    <n v="4.78"/>
    <n v="9.6300000000000008"/>
    <n v="2.35"/>
    <n v="1"/>
    <n v="0"/>
    <x v="1"/>
  </r>
  <r>
    <s v="India"/>
    <n v="2007"/>
    <x v="22"/>
    <x v="1"/>
    <x v="0"/>
    <n v="6.99"/>
    <n v="34.04"/>
    <n v="174.95"/>
    <n v="156"/>
    <n v="4.58"/>
    <n v="6.76"/>
    <n v="1.65"/>
    <n v="1"/>
    <n v="0"/>
    <x v="1"/>
  </r>
  <r>
    <s v="India"/>
    <n v="2007"/>
    <x v="15"/>
    <x v="0"/>
    <x v="0"/>
    <n v="5.27"/>
    <n v="34.71"/>
    <n v="165.02"/>
    <n v="158.58000000000001"/>
    <n v="4.57"/>
    <n v="2.85"/>
    <n v="0.7"/>
    <n v="0"/>
    <n v="0"/>
    <x v="1"/>
  </r>
  <r>
    <s v="India"/>
    <n v="2007"/>
    <x v="70"/>
    <x v="1"/>
    <x v="1"/>
    <n v="6.67"/>
    <n v="28.25"/>
    <n v="143.47999999999999"/>
    <n v="191.78"/>
    <n v="6.79"/>
    <n v="10.45"/>
    <n v="2.56"/>
    <n v="1"/>
    <n v="1"/>
    <x v="0"/>
  </r>
  <r>
    <s v="India"/>
    <n v="2007"/>
    <x v="53"/>
    <x v="0"/>
    <x v="1"/>
    <n v="6.97"/>
    <n v="53.14"/>
    <n v="130.25"/>
    <n v="100.11"/>
    <n v="1.88"/>
    <n v="8.18"/>
    <n v="2"/>
    <n v="1"/>
    <n v="0"/>
    <x v="0"/>
  </r>
  <r>
    <s v="India"/>
    <n v="2007"/>
    <x v="19"/>
    <x v="0"/>
    <x v="1"/>
    <n v="7.73"/>
    <n v="48.15"/>
    <n v="138.68"/>
    <n v="198.8"/>
    <n v="4.13"/>
    <n v="12.43"/>
    <n v="3.04"/>
    <n v="1"/>
    <n v="1"/>
    <x v="0"/>
  </r>
  <r>
    <s v="India"/>
    <n v="2007"/>
    <x v="44"/>
    <x v="0"/>
    <x v="1"/>
    <n v="6.24"/>
    <n v="47.41"/>
    <n v="154.38"/>
    <n v="198.41"/>
    <n v="4.18"/>
    <n v="13.4"/>
    <n v="3.27"/>
    <n v="0"/>
    <n v="1"/>
    <x v="0"/>
  </r>
  <r>
    <s v="India"/>
    <n v="2007"/>
    <x v="4"/>
    <x v="1"/>
    <x v="1"/>
    <n v="7.92"/>
    <n v="32.17"/>
    <n v="128"/>
    <n v="105.6"/>
    <n v="3.28"/>
    <n v="8.34"/>
    <n v="2.04"/>
    <n v="1"/>
    <n v="0"/>
    <x v="2"/>
  </r>
  <r>
    <s v="India"/>
    <n v="2007"/>
    <x v="60"/>
    <x v="0"/>
    <x v="0"/>
    <n v="6.84"/>
    <n v="46.3"/>
    <n v="180.72"/>
    <n v="148.43"/>
    <n v="3.21"/>
    <n v="5.47"/>
    <n v="1.34"/>
    <n v="1"/>
    <n v="0"/>
    <x v="1"/>
  </r>
  <r>
    <s v="India"/>
    <n v="2008"/>
    <x v="71"/>
    <x v="0"/>
    <x v="2"/>
    <n v="6.73"/>
    <n v="47.58"/>
    <n v="96.54"/>
    <n v="221.44"/>
    <n v="4.6500000000000004"/>
    <n v="5.9"/>
    <n v="1.44"/>
    <n v="1"/>
    <n v="0"/>
    <x v="1"/>
  </r>
  <r>
    <s v="India"/>
    <n v="2008"/>
    <x v="51"/>
    <x v="1"/>
    <x v="2"/>
    <n v="6.65"/>
    <n v="28.57"/>
    <n v="129.49"/>
    <n v="205.58"/>
    <n v="7.19"/>
    <n v="10.74"/>
    <n v="2.63"/>
    <n v="1"/>
    <n v="1"/>
    <x v="1"/>
  </r>
  <r>
    <s v="India"/>
    <n v="2008"/>
    <x v="68"/>
    <x v="1"/>
    <x v="2"/>
    <n v="4.78"/>
    <n v="55.5"/>
    <n v="98.52"/>
    <n v="177.49"/>
    <n v="3.2"/>
    <n v="13.9"/>
    <n v="3.4"/>
    <n v="0"/>
    <n v="1"/>
    <x v="2"/>
  </r>
  <r>
    <s v="India"/>
    <n v="2008"/>
    <x v="0"/>
    <x v="0"/>
    <x v="0"/>
    <n v="6.32"/>
    <n v="45.82"/>
    <n v="175.26"/>
    <n v="195.88"/>
    <n v="4.2699999999999996"/>
    <n v="2.96"/>
    <n v="0.72"/>
    <n v="0"/>
    <n v="0"/>
    <x v="1"/>
  </r>
  <r>
    <s v="India"/>
    <n v="2008"/>
    <x v="72"/>
    <x v="1"/>
    <x v="1"/>
    <n v="7.02"/>
    <n v="46.13"/>
    <n v="115.82"/>
    <n v="122.15"/>
    <n v="2.65"/>
    <n v="2.95"/>
    <n v="0.72"/>
    <n v="1"/>
    <n v="0"/>
    <x v="2"/>
  </r>
  <r>
    <s v="India"/>
    <n v="2008"/>
    <x v="73"/>
    <x v="0"/>
    <x v="2"/>
    <n v="6.66"/>
    <n v="49.84"/>
    <n v="135.74"/>
    <n v="109.78"/>
    <n v="2.2000000000000002"/>
    <n v="5.96"/>
    <n v="1.46"/>
    <n v="1"/>
    <n v="0"/>
    <x v="0"/>
  </r>
  <r>
    <s v="India"/>
    <n v="2008"/>
    <x v="45"/>
    <x v="1"/>
    <x v="2"/>
    <n v="5.25"/>
    <n v="57.11"/>
    <n v="122.23"/>
    <n v="164.92"/>
    <n v="2.89"/>
    <n v="3.52"/>
    <n v="0.86"/>
    <n v="0"/>
    <n v="0"/>
    <x v="2"/>
  </r>
  <r>
    <s v="India"/>
    <n v="2008"/>
    <x v="40"/>
    <x v="1"/>
    <x v="1"/>
    <n v="6.9"/>
    <n v="45.9"/>
    <n v="172.26"/>
    <n v="147.35"/>
    <n v="3.21"/>
    <n v="14.75"/>
    <n v="3.61"/>
    <n v="1"/>
    <n v="1"/>
    <x v="1"/>
  </r>
  <r>
    <s v="India"/>
    <n v="2008"/>
    <x v="30"/>
    <x v="0"/>
    <x v="0"/>
    <n v="6.6"/>
    <n v="28.65"/>
    <n v="133.63"/>
    <n v="138.55000000000001"/>
    <n v="4.84"/>
    <n v="10.68"/>
    <n v="2.61"/>
    <n v="1"/>
    <n v="1"/>
    <x v="0"/>
  </r>
  <r>
    <s v="India"/>
    <n v="2008"/>
    <x v="18"/>
    <x v="1"/>
    <x v="3"/>
    <n v="8.2899999999999991"/>
    <n v="51.58"/>
    <n v="151.94999999999999"/>
    <n v="195.22"/>
    <n v="3.79"/>
    <n v="10.96"/>
    <n v="2.68"/>
    <n v="1"/>
    <n v="1"/>
    <x v="0"/>
  </r>
  <r>
    <s v="India"/>
    <n v="2008"/>
    <x v="1"/>
    <x v="1"/>
    <x v="1"/>
    <n v="7.55"/>
    <n v="70.180000000000007"/>
    <n v="137.28"/>
    <n v="193.93"/>
    <n v="2.76"/>
    <n v="9.11"/>
    <n v="2.23"/>
    <n v="1"/>
    <n v="0"/>
    <x v="0"/>
  </r>
  <r>
    <s v="India"/>
    <n v="2008"/>
    <x v="12"/>
    <x v="1"/>
    <x v="0"/>
    <n v="7.41"/>
    <n v="54.94"/>
    <n v="140.56"/>
    <n v="104.86"/>
    <n v="1.91"/>
    <n v="7.76"/>
    <n v="1.9"/>
    <n v="1"/>
    <n v="0"/>
    <x v="0"/>
  </r>
  <r>
    <s v="India"/>
    <n v="2008"/>
    <x v="74"/>
    <x v="0"/>
    <x v="3"/>
    <n v="5.51"/>
    <n v="44.63"/>
    <n v="164.81"/>
    <n v="146.66999999999999"/>
    <n v="3.29"/>
    <n v="7.96"/>
    <n v="1.95"/>
    <n v="0"/>
    <n v="0"/>
    <x v="1"/>
  </r>
  <r>
    <s v="India"/>
    <n v="2008"/>
    <x v="31"/>
    <x v="0"/>
    <x v="1"/>
    <n v="5.14"/>
    <n v="58.95"/>
    <n v="154.71"/>
    <n v="181.67"/>
    <n v="3.08"/>
    <n v="14.88"/>
    <n v="3.64"/>
    <n v="0"/>
    <n v="1"/>
    <x v="0"/>
  </r>
  <r>
    <s v="India"/>
    <n v="2008"/>
    <x v="65"/>
    <x v="1"/>
    <x v="3"/>
    <n v="6.27"/>
    <n v="53.43"/>
    <n v="152.13"/>
    <n v="103.73"/>
    <n v="1.94"/>
    <n v="9.8800000000000008"/>
    <n v="2.42"/>
    <n v="0"/>
    <n v="0"/>
    <x v="0"/>
  </r>
  <r>
    <s v="India"/>
    <n v="2008"/>
    <x v="22"/>
    <x v="0"/>
    <x v="0"/>
    <n v="6.18"/>
    <n v="47.88"/>
    <n v="160.57"/>
    <n v="91.8"/>
    <n v="1.92"/>
    <n v="1.66"/>
    <n v="0.41"/>
    <n v="0"/>
    <n v="0"/>
    <x v="1"/>
  </r>
  <r>
    <s v="India"/>
    <n v="2008"/>
    <x v="75"/>
    <x v="0"/>
    <x v="1"/>
    <n v="9.4499999999999993"/>
    <n v="53.79"/>
    <n v="205.98"/>
    <n v="210.22"/>
    <n v="3.91"/>
    <n v="14.13"/>
    <n v="3.45"/>
    <n v="1"/>
    <n v="1"/>
    <x v="1"/>
  </r>
  <r>
    <s v="India"/>
    <n v="2008"/>
    <x v="69"/>
    <x v="0"/>
    <x v="0"/>
    <n v="6.49"/>
    <n v="58.62"/>
    <n v="174.92"/>
    <n v="178.3"/>
    <n v="3.04"/>
    <n v="11.31"/>
    <n v="2.76"/>
    <n v="0"/>
    <n v="1"/>
    <x v="1"/>
  </r>
  <r>
    <s v="India"/>
    <n v="2008"/>
    <x v="60"/>
    <x v="0"/>
    <x v="0"/>
    <n v="6.12"/>
    <n v="38.770000000000003"/>
    <n v="141.82"/>
    <n v="201.25"/>
    <n v="5.19"/>
    <n v="17.190000000000001"/>
    <n v="4.2"/>
    <n v="0"/>
    <n v="1"/>
    <x v="1"/>
  </r>
  <r>
    <s v="India"/>
    <n v="2008"/>
    <x v="19"/>
    <x v="0"/>
    <x v="1"/>
    <n v="7.25"/>
    <n v="33.97"/>
    <n v="145.43"/>
    <n v="143.27000000000001"/>
    <n v="4.22"/>
    <n v="13.17"/>
    <n v="3.22"/>
    <n v="1"/>
    <n v="1"/>
    <x v="0"/>
  </r>
  <r>
    <s v="India"/>
    <n v="2008"/>
    <x v="20"/>
    <x v="1"/>
    <x v="1"/>
    <n v="8.08"/>
    <n v="37.53"/>
    <n v="109.59"/>
    <n v="67.44"/>
    <n v="1.8"/>
    <n v="12"/>
    <n v="2.93"/>
    <n v="1"/>
    <n v="1"/>
    <x v="2"/>
  </r>
  <r>
    <s v="India"/>
    <n v="2008"/>
    <x v="2"/>
    <x v="0"/>
    <x v="2"/>
    <n v="8.1199999999999992"/>
    <n v="59.04"/>
    <n v="172.64"/>
    <n v="147.93"/>
    <n v="2.5099999999999998"/>
    <n v="8.4499999999999993"/>
    <n v="2.0699999999999998"/>
    <n v="1"/>
    <n v="0"/>
    <x v="1"/>
  </r>
  <r>
    <s v="India"/>
    <n v="2008"/>
    <x v="76"/>
    <x v="1"/>
    <x v="0"/>
    <n v="6.28"/>
    <n v="51.09"/>
    <n v="151.19"/>
    <n v="239.13"/>
    <n v="4.68"/>
    <n v="10.78"/>
    <n v="2.64"/>
    <n v="0"/>
    <n v="1"/>
    <x v="1"/>
  </r>
  <r>
    <s v="India"/>
    <n v="2008"/>
    <x v="51"/>
    <x v="0"/>
    <x v="2"/>
    <n v="6.5"/>
    <n v="64.739999999999995"/>
    <n v="147.09"/>
    <n v="164.73"/>
    <n v="2.54"/>
    <n v="10.53"/>
    <n v="2.57"/>
    <n v="1"/>
    <n v="1"/>
    <x v="0"/>
  </r>
  <r>
    <s v="India"/>
    <n v="2008"/>
    <x v="77"/>
    <x v="0"/>
    <x v="0"/>
    <n v="8.57"/>
    <n v="42.54"/>
    <n v="132.13"/>
    <n v="96.14"/>
    <n v="2.2599999999999998"/>
    <n v="5.09"/>
    <n v="1.24"/>
    <n v="1"/>
    <n v="0"/>
    <x v="0"/>
  </r>
  <r>
    <s v="India"/>
    <n v="2008"/>
    <x v="65"/>
    <x v="1"/>
    <x v="3"/>
    <n v="7.22"/>
    <n v="65.42"/>
    <n v="145.01"/>
    <n v="215.57"/>
    <n v="3.3"/>
    <n v="11.3"/>
    <n v="2.76"/>
    <n v="1"/>
    <n v="1"/>
    <x v="1"/>
  </r>
  <r>
    <s v="India"/>
    <n v="2008"/>
    <x v="24"/>
    <x v="1"/>
    <x v="2"/>
    <n v="6.72"/>
    <n v="65.66"/>
    <n v="119.05"/>
    <n v="111"/>
    <n v="1.69"/>
    <n v="7.25"/>
    <n v="1.77"/>
    <n v="1"/>
    <n v="0"/>
    <x v="2"/>
  </r>
  <r>
    <s v="India"/>
    <n v="2008"/>
    <x v="23"/>
    <x v="1"/>
    <x v="0"/>
    <n v="6.84"/>
    <n v="52.69"/>
    <n v="122.84"/>
    <n v="194.46"/>
    <n v="3.69"/>
    <n v="12.07"/>
    <n v="2.95"/>
    <n v="1"/>
    <n v="1"/>
    <x v="2"/>
  </r>
  <r>
    <s v="India"/>
    <n v="2008"/>
    <x v="61"/>
    <x v="1"/>
    <x v="1"/>
    <n v="8.4700000000000006"/>
    <n v="36.54"/>
    <n v="162.28"/>
    <n v="163.92"/>
    <n v="4.49"/>
    <n v="5.37"/>
    <n v="1.31"/>
    <n v="1"/>
    <n v="0"/>
    <x v="1"/>
  </r>
  <r>
    <s v="India"/>
    <n v="2008"/>
    <x v="11"/>
    <x v="1"/>
    <x v="0"/>
    <n v="6.43"/>
    <n v="42.18"/>
    <n v="105.92"/>
    <n v="148.88"/>
    <n v="3.53"/>
    <n v="4.37"/>
    <n v="1.07"/>
    <n v="0"/>
    <n v="0"/>
    <x v="2"/>
  </r>
  <r>
    <s v="India"/>
    <n v="2008"/>
    <x v="53"/>
    <x v="0"/>
    <x v="1"/>
    <n v="6.14"/>
    <n v="61.37"/>
    <n v="168.31"/>
    <n v="193.89"/>
    <n v="3.16"/>
    <n v="5.63"/>
    <n v="1.38"/>
    <n v="0"/>
    <n v="0"/>
    <x v="1"/>
  </r>
  <r>
    <s v="India"/>
    <n v="2008"/>
    <x v="47"/>
    <x v="0"/>
    <x v="0"/>
    <n v="5.77"/>
    <n v="43.64"/>
    <n v="121.68"/>
    <n v="182.12"/>
    <n v="4.17"/>
    <n v="8.15"/>
    <n v="1.99"/>
    <n v="0"/>
    <n v="0"/>
    <x v="2"/>
  </r>
  <r>
    <s v="India"/>
    <n v="2008"/>
    <x v="10"/>
    <x v="1"/>
    <x v="0"/>
    <n v="6.8"/>
    <n v="37.14"/>
    <n v="139.09"/>
    <n v="144.96"/>
    <n v="3.9"/>
    <n v="7.79"/>
    <n v="1.9"/>
    <n v="1"/>
    <n v="0"/>
    <x v="0"/>
  </r>
  <r>
    <s v="India"/>
    <n v="2008"/>
    <x v="16"/>
    <x v="0"/>
    <x v="0"/>
    <n v="5.67"/>
    <n v="42.26"/>
    <n v="151.32"/>
    <n v="207.21"/>
    <n v="4.9000000000000004"/>
    <n v="4.0599999999999996"/>
    <n v="0.99"/>
    <n v="0"/>
    <n v="0"/>
    <x v="1"/>
  </r>
  <r>
    <s v="India"/>
    <n v="2008"/>
    <x v="47"/>
    <x v="0"/>
    <x v="0"/>
    <n v="6.37"/>
    <n v="53.12"/>
    <n v="128.94"/>
    <n v="160.6"/>
    <n v="3.02"/>
    <n v="8.14"/>
    <n v="1.99"/>
    <n v="0"/>
    <n v="0"/>
    <x v="2"/>
  </r>
  <r>
    <s v="India"/>
    <n v="2008"/>
    <x v="41"/>
    <x v="1"/>
    <x v="1"/>
    <n v="7.89"/>
    <n v="31.01"/>
    <n v="172.36"/>
    <n v="136.77000000000001"/>
    <n v="4.41"/>
    <n v="11.16"/>
    <n v="2.73"/>
    <n v="1"/>
    <n v="1"/>
    <x v="1"/>
  </r>
  <r>
    <s v="India"/>
    <n v="2008"/>
    <x v="54"/>
    <x v="1"/>
    <x v="2"/>
    <n v="6.17"/>
    <n v="60.07"/>
    <n v="103.34"/>
    <n v="191.97"/>
    <n v="3.2"/>
    <n v="6.99"/>
    <n v="1.71"/>
    <n v="0"/>
    <n v="0"/>
    <x v="2"/>
  </r>
  <r>
    <s v="India"/>
    <n v="2008"/>
    <x v="16"/>
    <x v="1"/>
    <x v="0"/>
    <n v="5.25"/>
    <n v="42.52"/>
    <n v="136.78"/>
    <n v="187.71"/>
    <n v="4.41"/>
    <n v="-2.04"/>
    <n v="-0.5"/>
    <n v="0"/>
    <n v="0"/>
    <x v="0"/>
  </r>
  <r>
    <s v="India"/>
    <n v="2008"/>
    <x v="9"/>
    <x v="0"/>
    <x v="2"/>
    <n v="6.79"/>
    <n v="55.85"/>
    <n v="148.72999999999999"/>
    <n v="215.1"/>
    <n v="3.85"/>
    <n v="9.51"/>
    <n v="2.3199999999999998"/>
    <n v="1"/>
    <n v="0"/>
    <x v="1"/>
  </r>
  <r>
    <s v="India"/>
    <n v="2008"/>
    <x v="41"/>
    <x v="1"/>
    <x v="1"/>
    <n v="8.1300000000000008"/>
    <n v="36.630000000000003"/>
    <n v="144.32"/>
    <n v="151.33000000000001"/>
    <n v="4.13"/>
    <n v="8.48"/>
    <n v="2.0699999999999998"/>
    <n v="1"/>
    <n v="0"/>
    <x v="0"/>
  </r>
  <r>
    <s v="India"/>
    <n v="2008"/>
    <x v="53"/>
    <x v="1"/>
    <x v="1"/>
    <n v="8.59"/>
    <n v="31.04"/>
    <n v="145.26"/>
    <n v="173.55"/>
    <n v="5.59"/>
    <n v="9.5399999999999991"/>
    <n v="2.33"/>
    <n v="1"/>
    <n v="0"/>
    <x v="0"/>
  </r>
  <r>
    <s v="India"/>
    <n v="2008"/>
    <x v="33"/>
    <x v="1"/>
    <x v="3"/>
    <n v="6.26"/>
    <n v="41.32"/>
    <n v="163.22999999999999"/>
    <n v="252.31"/>
    <n v="6.11"/>
    <n v="7.59"/>
    <n v="1.86"/>
    <n v="0"/>
    <n v="0"/>
    <x v="1"/>
  </r>
  <r>
    <s v="India"/>
    <n v="2008"/>
    <x v="78"/>
    <x v="0"/>
    <x v="0"/>
    <n v="8.5399999999999991"/>
    <n v="36.26"/>
    <n v="116.51"/>
    <n v="181.29"/>
    <n v="5"/>
    <n v="7.92"/>
    <n v="1.94"/>
    <n v="1"/>
    <n v="0"/>
    <x v="2"/>
  </r>
  <r>
    <s v="India"/>
    <n v="2008"/>
    <x v="67"/>
    <x v="1"/>
    <x v="2"/>
    <n v="7.7"/>
    <n v="52.36"/>
    <n v="150.6"/>
    <n v="79.83"/>
    <n v="1.52"/>
    <n v="4.6100000000000003"/>
    <n v="1.1299999999999999"/>
    <n v="1"/>
    <n v="0"/>
    <x v="0"/>
  </r>
  <r>
    <s v="India"/>
    <n v="2008"/>
    <x v="64"/>
    <x v="1"/>
    <x v="0"/>
    <n v="7.68"/>
    <n v="43.96"/>
    <n v="167.31"/>
    <n v="150.80000000000001"/>
    <n v="3.43"/>
    <n v="9.19"/>
    <n v="2.25"/>
    <n v="1"/>
    <n v="0"/>
    <x v="1"/>
  </r>
  <r>
    <s v="India"/>
    <n v="2008"/>
    <x v="32"/>
    <x v="0"/>
    <x v="0"/>
    <n v="7.53"/>
    <n v="39.35"/>
    <n v="140.32"/>
    <n v="283.19"/>
    <n v="7.2"/>
    <n v="3.51"/>
    <n v="0.86"/>
    <n v="1"/>
    <n v="0"/>
    <x v="1"/>
  </r>
  <r>
    <s v="India"/>
    <n v="2008"/>
    <x v="25"/>
    <x v="0"/>
    <x v="0"/>
    <n v="9.01"/>
    <n v="31.98"/>
    <n v="134.29"/>
    <n v="135.69"/>
    <n v="4.24"/>
    <n v="10.69"/>
    <n v="2.61"/>
    <n v="1"/>
    <n v="1"/>
    <x v="0"/>
  </r>
  <r>
    <s v="India"/>
    <n v="2008"/>
    <x v="20"/>
    <x v="0"/>
    <x v="1"/>
    <n v="6.06"/>
    <n v="41.9"/>
    <n v="166.32"/>
    <n v="153.66999999999999"/>
    <n v="3.67"/>
    <n v="11"/>
    <n v="2.69"/>
    <n v="0"/>
    <n v="1"/>
    <x v="1"/>
  </r>
  <r>
    <s v="India"/>
    <n v="2008"/>
    <x v="14"/>
    <x v="1"/>
    <x v="0"/>
    <n v="7.11"/>
    <n v="40.049999999999997"/>
    <n v="168.91"/>
    <n v="193.3"/>
    <n v="4.83"/>
    <n v="3.31"/>
    <n v="0.81"/>
    <n v="1"/>
    <n v="0"/>
    <x v="1"/>
  </r>
  <r>
    <s v="India"/>
    <n v="2008"/>
    <x v="46"/>
    <x v="0"/>
    <x v="0"/>
    <n v="9.17"/>
    <n v="56.2"/>
    <n v="129.41"/>
    <n v="188.67"/>
    <n v="3.36"/>
    <n v="3.93"/>
    <n v="0.96"/>
    <n v="1"/>
    <n v="0"/>
    <x v="2"/>
  </r>
  <r>
    <s v="India"/>
    <n v="2009"/>
    <x v="40"/>
    <x v="1"/>
    <x v="1"/>
    <n v="6.57"/>
    <n v="38.07"/>
    <n v="176.67"/>
    <n v="316.57"/>
    <n v="8.32"/>
    <n v="9.9700000000000006"/>
    <n v="2.44"/>
    <n v="1"/>
    <n v="0"/>
    <x v="1"/>
  </r>
  <r>
    <s v="India"/>
    <n v="2009"/>
    <x v="62"/>
    <x v="1"/>
    <x v="0"/>
    <n v="4.5999999999999996"/>
    <n v="59.32"/>
    <n v="158.21"/>
    <n v="183.3"/>
    <n v="3.09"/>
    <n v="3.1"/>
    <n v="0.76"/>
    <n v="0"/>
    <n v="0"/>
    <x v="0"/>
  </r>
  <r>
    <s v="India"/>
    <n v="2009"/>
    <x v="75"/>
    <x v="1"/>
    <x v="1"/>
    <n v="7.03"/>
    <n v="26.72"/>
    <n v="158.62"/>
    <n v="209.34"/>
    <n v="7.84"/>
    <n v="14.88"/>
    <n v="3.64"/>
    <n v="1"/>
    <n v="1"/>
    <x v="1"/>
  </r>
  <r>
    <s v="India"/>
    <n v="2009"/>
    <x v="15"/>
    <x v="1"/>
    <x v="0"/>
    <n v="8.23"/>
    <n v="41.82"/>
    <n v="87.31"/>
    <n v="227.15"/>
    <n v="5.43"/>
    <n v="6.77"/>
    <n v="1.66"/>
    <n v="1"/>
    <n v="0"/>
    <x v="1"/>
  </r>
  <r>
    <s v="India"/>
    <n v="2009"/>
    <x v="51"/>
    <x v="1"/>
    <x v="2"/>
    <n v="6.19"/>
    <n v="51.96"/>
    <n v="142.57"/>
    <n v="146.66999999999999"/>
    <n v="2.82"/>
    <n v="-0.61"/>
    <n v="-0.15"/>
    <n v="0"/>
    <n v="0"/>
    <x v="0"/>
  </r>
  <r>
    <s v="India"/>
    <n v="2009"/>
    <x v="57"/>
    <x v="1"/>
    <x v="0"/>
    <n v="7.39"/>
    <n v="71.459999999999994"/>
    <n v="156.41"/>
    <n v="153.86000000000001"/>
    <n v="2.15"/>
    <n v="9.2100000000000009"/>
    <n v="2.25"/>
    <n v="1"/>
    <n v="0"/>
    <x v="0"/>
  </r>
  <r>
    <s v="India"/>
    <n v="2009"/>
    <x v="39"/>
    <x v="1"/>
    <x v="1"/>
    <n v="8.36"/>
    <n v="32.75"/>
    <n v="177.02"/>
    <n v="188.27"/>
    <n v="5.75"/>
    <n v="7.24"/>
    <n v="1.77"/>
    <n v="1"/>
    <n v="0"/>
    <x v="1"/>
  </r>
  <r>
    <s v="India"/>
    <n v="2009"/>
    <x v="45"/>
    <x v="0"/>
    <x v="2"/>
    <n v="5.32"/>
    <n v="32.549999999999997"/>
    <n v="184.23"/>
    <n v="168.61"/>
    <n v="5.18"/>
    <n v="6.11"/>
    <n v="1.49"/>
    <n v="0"/>
    <n v="0"/>
    <x v="1"/>
  </r>
  <r>
    <s v="India"/>
    <n v="2009"/>
    <x v="21"/>
    <x v="0"/>
    <x v="3"/>
    <n v="7.09"/>
    <n v="47.79"/>
    <n v="104.83"/>
    <n v="115.41"/>
    <n v="2.41"/>
    <n v="8.8800000000000008"/>
    <n v="2.17"/>
    <n v="1"/>
    <n v="0"/>
    <x v="2"/>
  </r>
  <r>
    <s v="India"/>
    <n v="2009"/>
    <x v="74"/>
    <x v="0"/>
    <x v="3"/>
    <n v="7.15"/>
    <n v="61.12"/>
    <n v="172.35"/>
    <n v="173.61"/>
    <n v="2.84"/>
    <n v="9.43"/>
    <n v="2.31"/>
    <n v="1"/>
    <n v="0"/>
    <x v="1"/>
  </r>
  <r>
    <s v="India"/>
    <n v="2009"/>
    <x v="8"/>
    <x v="1"/>
    <x v="1"/>
    <n v="8.67"/>
    <n v="24.68"/>
    <n v="153.71"/>
    <n v="229.71"/>
    <n v="9.31"/>
    <n v="3.02"/>
    <n v="0.74"/>
    <n v="1"/>
    <n v="0"/>
    <x v="1"/>
  </r>
  <r>
    <s v="India"/>
    <n v="2009"/>
    <x v="66"/>
    <x v="0"/>
    <x v="0"/>
    <n v="7.03"/>
    <n v="39.799999999999997"/>
    <n v="130.75"/>
    <n v="156.84"/>
    <n v="3.94"/>
    <n v="10.220000000000001"/>
    <n v="2.5"/>
    <n v="1"/>
    <n v="0"/>
    <x v="0"/>
  </r>
  <r>
    <s v="India"/>
    <n v="2009"/>
    <x v="4"/>
    <x v="1"/>
    <x v="1"/>
    <n v="6.73"/>
    <n v="43.81"/>
    <n v="151.94999999999999"/>
    <n v="221.95"/>
    <n v="5.07"/>
    <n v="11.45"/>
    <n v="2.8"/>
    <n v="1"/>
    <n v="1"/>
    <x v="1"/>
  </r>
  <r>
    <s v="India"/>
    <n v="2009"/>
    <x v="10"/>
    <x v="1"/>
    <x v="0"/>
    <n v="8.27"/>
    <n v="48.62"/>
    <n v="149.1"/>
    <n v="128.31"/>
    <n v="2.64"/>
    <n v="9.2799999999999994"/>
    <n v="2.27"/>
    <n v="1"/>
    <n v="0"/>
    <x v="0"/>
  </r>
  <r>
    <s v="India"/>
    <n v="2009"/>
    <x v="34"/>
    <x v="0"/>
    <x v="1"/>
    <n v="6.92"/>
    <n v="33.270000000000003"/>
    <n v="102.37"/>
    <n v="163.54"/>
    <n v="4.92"/>
    <n v="9.81"/>
    <n v="2.4"/>
    <n v="1"/>
    <n v="0"/>
    <x v="2"/>
  </r>
  <r>
    <s v="India"/>
    <n v="2009"/>
    <x v="78"/>
    <x v="0"/>
    <x v="0"/>
    <n v="6.16"/>
    <n v="41.89"/>
    <n v="127.5"/>
    <n v="193.4"/>
    <n v="4.62"/>
    <n v="6.64"/>
    <n v="1.62"/>
    <n v="0"/>
    <n v="0"/>
    <x v="2"/>
  </r>
  <r>
    <s v="India"/>
    <n v="2009"/>
    <x v="27"/>
    <x v="1"/>
    <x v="1"/>
    <n v="8.48"/>
    <n v="37.909999999999997"/>
    <n v="193.54"/>
    <n v="129.56"/>
    <n v="3.42"/>
    <n v="14.29"/>
    <n v="3.49"/>
    <n v="1"/>
    <n v="1"/>
    <x v="1"/>
  </r>
  <r>
    <s v="India"/>
    <n v="2009"/>
    <x v="44"/>
    <x v="1"/>
    <x v="1"/>
    <n v="7.42"/>
    <n v="51.03"/>
    <n v="107.63"/>
    <n v="239.61"/>
    <n v="4.7"/>
    <n v="3.22"/>
    <n v="0.79"/>
    <n v="1"/>
    <n v="0"/>
    <x v="1"/>
  </r>
  <r>
    <s v="India"/>
    <n v="2009"/>
    <x v="78"/>
    <x v="1"/>
    <x v="0"/>
    <n v="8.4"/>
    <n v="47.23"/>
    <n v="131.6"/>
    <n v="147.99"/>
    <n v="3.13"/>
    <n v="10.42"/>
    <n v="2.5499999999999998"/>
    <n v="1"/>
    <n v="1"/>
    <x v="0"/>
  </r>
  <r>
    <s v="India"/>
    <n v="2009"/>
    <x v="44"/>
    <x v="0"/>
    <x v="1"/>
    <n v="7.7"/>
    <n v="61.39"/>
    <n v="117.39"/>
    <n v="203.32"/>
    <n v="3.31"/>
    <n v="13.96"/>
    <n v="3.41"/>
    <n v="1"/>
    <n v="1"/>
    <x v="1"/>
  </r>
  <r>
    <s v="India"/>
    <n v="2009"/>
    <x v="20"/>
    <x v="1"/>
    <x v="1"/>
    <n v="8.41"/>
    <n v="39.159999999999997"/>
    <n v="175.59"/>
    <n v="207.9"/>
    <n v="5.31"/>
    <n v="8.65"/>
    <n v="2.11"/>
    <n v="1"/>
    <n v="0"/>
    <x v="1"/>
  </r>
  <r>
    <s v="India"/>
    <n v="2009"/>
    <x v="74"/>
    <x v="1"/>
    <x v="3"/>
    <n v="7.45"/>
    <n v="49.85"/>
    <n v="136.02000000000001"/>
    <n v="168.28"/>
    <n v="3.38"/>
    <n v="5.34"/>
    <n v="1.3"/>
    <n v="1"/>
    <n v="0"/>
    <x v="0"/>
  </r>
  <r>
    <s v="India"/>
    <n v="2009"/>
    <x v="22"/>
    <x v="1"/>
    <x v="0"/>
    <n v="6.76"/>
    <n v="23.53"/>
    <n v="177.5"/>
    <n v="105.72"/>
    <n v="4.49"/>
    <n v="8.61"/>
    <n v="2.1"/>
    <n v="1"/>
    <n v="0"/>
    <x v="1"/>
  </r>
  <r>
    <s v="India"/>
    <n v="2009"/>
    <x v="61"/>
    <x v="1"/>
    <x v="1"/>
    <n v="8.24"/>
    <n v="57.72"/>
    <n v="111.5"/>
    <n v="255.38"/>
    <n v="4.42"/>
    <n v="8.2200000000000006"/>
    <n v="2.0099999999999998"/>
    <n v="1"/>
    <n v="0"/>
    <x v="1"/>
  </r>
  <r>
    <s v="India"/>
    <n v="2009"/>
    <x v="7"/>
    <x v="1"/>
    <x v="0"/>
    <n v="5.2"/>
    <n v="60.97"/>
    <n v="75.39"/>
    <n v="127.09"/>
    <n v="2.08"/>
    <n v="5.31"/>
    <n v="1.3"/>
    <n v="0"/>
    <n v="0"/>
    <x v="2"/>
  </r>
  <r>
    <s v="India"/>
    <n v="2009"/>
    <x v="14"/>
    <x v="0"/>
    <x v="0"/>
    <n v="7.07"/>
    <n v="41.61"/>
    <n v="169.68"/>
    <n v="161.41"/>
    <n v="3.88"/>
    <n v="5.01"/>
    <n v="1.23"/>
    <n v="1"/>
    <n v="0"/>
    <x v="1"/>
  </r>
  <r>
    <s v="India"/>
    <n v="2009"/>
    <x v="69"/>
    <x v="0"/>
    <x v="0"/>
    <n v="5.97"/>
    <n v="49.99"/>
    <n v="171.94"/>
    <n v="102.16"/>
    <n v="2.04"/>
    <n v="10.91"/>
    <n v="2.67"/>
    <n v="0"/>
    <n v="1"/>
    <x v="1"/>
  </r>
  <r>
    <s v="India"/>
    <n v="2009"/>
    <x v="58"/>
    <x v="1"/>
    <x v="3"/>
    <n v="6.94"/>
    <n v="60.49"/>
    <n v="95.16"/>
    <n v="56.63"/>
    <n v="0.94"/>
    <n v="9.5399999999999991"/>
    <n v="2.33"/>
    <n v="1"/>
    <n v="0"/>
    <x v="2"/>
  </r>
  <r>
    <s v="India"/>
    <n v="2009"/>
    <x v="21"/>
    <x v="1"/>
    <x v="3"/>
    <n v="5.68"/>
    <n v="55.44"/>
    <n v="102.8"/>
    <n v="133.49"/>
    <n v="2.41"/>
    <n v="13.05"/>
    <n v="3.19"/>
    <n v="0"/>
    <n v="1"/>
    <x v="2"/>
  </r>
  <r>
    <s v="India"/>
    <n v="2009"/>
    <x v="56"/>
    <x v="0"/>
    <x v="1"/>
    <n v="7.86"/>
    <n v="45.71"/>
    <n v="147.25"/>
    <n v="103.28"/>
    <n v="2.2599999999999998"/>
    <n v="7.56"/>
    <n v="1.85"/>
    <n v="1"/>
    <n v="0"/>
    <x v="0"/>
  </r>
  <r>
    <s v="India"/>
    <n v="2009"/>
    <x v="16"/>
    <x v="1"/>
    <x v="0"/>
    <n v="5.29"/>
    <n v="50.19"/>
    <n v="153.38999999999999"/>
    <n v="268.11"/>
    <n v="5.34"/>
    <n v="7.6"/>
    <n v="1.86"/>
    <n v="0"/>
    <n v="0"/>
    <x v="1"/>
  </r>
  <r>
    <s v="India"/>
    <n v="2009"/>
    <x v="40"/>
    <x v="1"/>
    <x v="1"/>
    <n v="6.84"/>
    <n v="33.43"/>
    <n v="131.88"/>
    <n v="117.41"/>
    <n v="3.51"/>
    <n v="10.19"/>
    <n v="2.4900000000000002"/>
    <n v="1"/>
    <n v="0"/>
    <x v="0"/>
  </r>
  <r>
    <s v="India"/>
    <n v="2009"/>
    <x v="35"/>
    <x v="0"/>
    <x v="0"/>
    <n v="9.27"/>
    <n v="47.73"/>
    <n v="175.49"/>
    <n v="204.8"/>
    <n v="4.29"/>
    <n v="6.52"/>
    <n v="1.59"/>
    <n v="1"/>
    <n v="0"/>
    <x v="1"/>
  </r>
  <r>
    <s v="India"/>
    <n v="2009"/>
    <x v="74"/>
    <x v="0"/>
    <x v="3"/>
    <n v="7.15"/>
    <n v="59.34"/>
    <n v="168.39"/>
    <n v="184.11"/>
    <n v="3.1"/>
    <n v="4.7"/>
    <n v="1.1499999999999999"/>
    <n v="1"/>
    <n v="0"/>
    <x v="1"/>
  </r>
  <r>
    <s v="India"/>
    <n v="2009"/>
    <x v="23"/>
    <x v="0"/>
    <x v="0"/>
    <n v="8.2200000000000006"/>
    <n v="45.78"/>
    <n v="103.4"/>
    <n v="157.84"/>
    <n v="3.45"/>
    <n v="5.3"/>
    <n v="1.29"/>
    <n v="1"/>
    <n v="0"/>
    <x v="2"/>
  </r>
  <r>
    <s v="India"/>
    <n v="2009"/>
    <x v="61"/>
    <x v="0"/>
    <x v="1"/>
    <n v="7.4"/>
    <n v="41.75"/>
    <n v="133.62"/>
    <n v="209.66"/>
    <n v="5.0199999999999996"/>
    <n v="8.2799999999999994"/>
    <n v="2.02"/>
    <n v="1"/>
    <n v="0"/>
    <x v="1"/>
  </r>
  <r>
    <s v="India"/>
    <n v="2009"/>
    <x v="15"/>
    <x v="1"/>
    <x v="0"/>
    <n v="7.46"/>
    <n v="46.73"/>
    <n v="137.38"/>
    <n v="243.77"/>
    <n v="5.22"/>
    <n v="7.05"/>
    <n v="1.72"/>
    <n v="1"/>
    <n v="0"/>
    <x v="1"/>
  </r>
  <r>
    <s v="India"/>
    <n v="2009"/>
    <x v="22"/>
    <x v="1"/>
    <x v="0"/>
    <n v="6.67"/>
    <n v="32.26"/>
    <n v="104.74"/>
    <n v="187.78"/>
    <n v="5.82"/>
    <n v="7.49"/>
    <n v="1.83"/>
    <n v="1"/>
    <n v="0"/>
    <x v="2"/>
  </r>
  <r>
    <s v="India"/>
    <n v="2009"/>
    <x v="53"/>
    <x v="1"/>
    <x v="1"/>
    <n v="9.8000000000000007"/>
    <n v="40.380000000000003"/>
    <n v="155.22999999999999"/>
    <n v="265.74"/>
    <n v="6.58"/>
    <n v="5.0199999999999996"/>
    <n v="1.23"/>
    <n v="1"/>
    <n v="0"/>
    <x v="1"/>
  </r>
  <r>
    <s v="India"/>
    <n v="2009"/>
    <x v="64"/>
    <x v="0"/>
    <x v="0"/>
    <n v="7.93"/>
    <n v="47.79"/>
    <n v="133.55000000000001"/>
    <n v="223.38"/>
    <n v="4.67"/>
    <n v="8.32"/>
    <n v="2.0299999999999998"/>
    <n v="1"/>
    <n v="0"/>
    <x v="1"/>
  </r>
  <r>
    <s v="India"/>
    <n v="2009"/>
    <x v="9"/>
    <x v="0"/>
    <x v="2"/>
    <n v="6.27"/>
    <n v="55.38"/>
    <n v="151.09"/>
    <n v="166.52"/>
    <n v="3.01"/>
    <n v="7.98"/>
    <n v="1.95"/>
    <n v="0"/>
    <n v="0"/>
    <x v="0"/>
  </r>
  <r>
    <s v="India"/>
    <n v="2009"/>
    <x v="13"/>
    <x v="1"/>
    <x v="1"/>
    <n v="8.93"/>
    <n v="17.37"/>
    <n v="167.26"/>
    <n v="192.51"/>
    <n v="11.08"/>
    <n v="11.75"/>
    <n v="2.87"/>
    <n v="1"/>
    <n v="1"/>
    <x v="1"/>
  </r>
  <r>
    <s v="India"/>
    <n v="2009"/>
    <x v="0"/>
    <x v="0"/>
    <x v="0"/>
    <n v="8.31"/>
    <n v="33.090000000000003"/>
    <n v="145.94"/>
    <n v="92.51"/>
    <n v="2.8"/>
    <n v="11.94"/>
    <n v="2.92"/>
    <n v="1"/>
    <n v="1"/>
    <x v="0"/>
  </r>
  <r>
    <s v="India"/>
    <n v="2009"/>
    <x v="55"/>
    <x v="1"/>
    <x v="1"/>
    <n v="8.17"/>
    <n v="28.53"/>
    <n v="166.97"/>
    <n v="213.9"/>
    <n v="7.5"/>
    <n v="3.25"/>
    <n v="0.8"/>
    <n v="1"/>
    <n v="0"/>
    <x v="1"/>
  </r>
  <r>
    <s v="India"/>
    <n v="2009"/>
    <x v="69"/>
    <x v="1"/>
    <x v="0"/>
    <n v="7.69"/>
    <n v="51.41"/>
    <n v="162.04"/>
    <n v="135.11000000000001"/>
    <n v="2.63"/>
    <n v="5.2"/>
    <n v="1.27"/>
    <n v="1"/>
    <n v="0"/>
    <x v="1"/>
  </r>
  <r>
    <s v="India"/>
    <n v="2009"/>
    <x v="3"/>
    <x v="0"/>
    <x v="0"/>
    <n v="4.93"/>
    <n v="44.14"/>
    <n v="165.31"/>
    <n v="202.29"/>
    <n v="4.58"/>
    <n v="8.65"/>
    <n v="2.11"/>
    <n v="0"/>
    <n v="0"/>
    <x v="1"/>
  </r>
  <r>
    <s v="India"/>
    <n v="2009"/>
    <x v="6"/>
    <x v="0"/>
    <x v="1"/>
    <n v="7.81"/>
    <n v="47.81"/>
    <n v="128.15"/>
    <n v="161.47"/>
    <n v="3.38"/>
    <n v="12.71"/>
    <n v="3.11"/>
    <n v="1"/>
    <n v="1"/>
    <x v="2"/>
  </r>
  <r>
    <s v="India"/>
    <n v="2009"/>
    <x v="38"/>
    <x v="1"/>
    <x v="2"/>
    <n v="5.66"/>
    <n v="43.41"/>
    <n v="204.54"/>
    <n v="196.66"/>
    <n v="4.53"/>
    <n v="9.44"/>
    <n v="2.31"/>
    <n v="0"/>
    <n v="0"/>
    <x v="1"/>
  </r>
  <r>
    <s v="India"/>
    <n v="2009"/>
    <x v="56"/>
    <x v="1"/>
    <x v="1"/>
    <n v="6.25"/>
    <n v="38.32"/>
    <n v="142.94"/>
    <n v="141.11000000000001"/>
    <n v="3.68"/>
    <n v="8.5299999999999994"/>
    <n v="2.09"/>
    <n v="0"/>
    <n v="0"/>
    <x v="0"/>
  </r>
  <r>
    <s v="India"/>
    <n v="2009"/>
    <x v="59"/>
    <x v="0"/>
    <x v="0"/>
    <n v="4.8600000000000003"/>
    <n v="61.57"/>
    <n v="139.78"/>
    <n v="120.54"/>
    <n v="1.96"/>
    <n v="12.94"/>
    <n v="3.16"/>
    <n v="0"/>
    <n v="1"/>
    <x v="0"/>
  </r>
  <r>
    <s v="India"/>
    <n v="2010"/>
    <x v="17"/>
    <x v="0"/>
    <x v="0"/>
    <n v="7.67"/>
    <n v="49.4"/>
    <n v="164.78"/>
    <n v="203.49"/>
    <n v="4.12"/>
    <n v="2.11"/>
    <n v="0.52"/>
    <n v="1"/>
    <n v="0"/>
    <x v="1"/>
  </r>
  <r>
    <s v="India"/>
    <n v="2010"/>
    <x v="3"/>
    <x v="1"/>
    <x v="0"/>
    <n v="5.95"/>
    <n v="46.62"/>
    <n v="151.63999999999999"/>
    <n v="151.41999999999999"/>
    <n v="3.25"/>
    <n v="7.11"/>
    <n v="1.74"/>
    <n v="0"/>
    <n v="0"/>
    <x v="0"/>
  </r>
  <r>
    <s v="India"/>
    <n v="2010"/>
    <x v="73"/>
    <x v="1"/>
    <x v="2"/>
    <n v="8.94"/>
    <n v="48.89"/>
    <n v="98.25"/>
    <n v="177.37"/>
    <n v="3.63"/>
    <n v="5.59"/>
    <n v="1.37"/>
    <n v="1"/>
    <n v="0"/>
    <x v="2"/>
  </r>
  <r>
    <s v="India"/>
    <n v="2010"/>
    <x v="41"/>
    <x v="1"/>
    <x v="1"/>
    <n v="7.63"/>
    <n v="46.18"/>
    <n v="174.76"/>
    <n v="202.9"/>
    <n v="4.3899999999999997"/>
    <n v="2.46"/>
    <n v="0.6"/>
    <n v="1"/>
    <n v="0"/>
    <x v="1"/>
  </r>
  <r>
    <s v="India"/>
    <n v="2010"/>
    <x v="57"/>
    <x v="0"/>
    <x v="0"/>
    <n v="6.12"/>
    <n v="34.340000000000003"/>
    <n v="198.28"/>
    <n v="175.72"/>
    <n v="5.12"/>
    <n v="13.81"/>
    <n v="3.38"/>
    <n v="0"/>
    <n v="1"/>
    <x v="1"/>
  </r>
  <r>
    <s v="India"/>
    <n v="2010"/>
    <x v="70"/>
    <x v="0"/>
    <x v="1"/>
    <n v="6.69"/>
    <n v="48.1"/>
    <n v="158.44"/>
    <n v="161.4"/>
    <n v="3.36"/>
    <n v="7.4"/>
    <n v="1.81"/>
    <n v="1"/>
    <n v="0"/>
    <x v="0"/>
  </r>
  <r>
    <s v="India"/>
    <n v="2010"/>
    <x v="79"/>
    <x v="0"/>
    <x v="3"/>
    <n v="7.88"/>
    <n v="44.79"/>
    <n v="173.56"/>
    <n v="199.43"/>
    <n v="4.45"/>
    <n v="7.82"/>
    <n v="1.91"/>
    <n v="1"/>
    <n v="0"/>
    <x v="1"/>
  </r>
  <r>
    <s v="India"/>
    <n v="2010"/>
    <x v="68"/>
    <x v="1"/>
    <x v="2"/>
    <n v="4.18"/>
    <n v="58.39"/>
    <n v="129.16999999999999"/>
    <n v="152.71"/>
    <n v="2.62"/>
    <n v="5.88"/>
    <n v="1.44"/>
    <n v="0"/>
    <n v="0"/>
    <x v="2"/>
  </r>
  <r>
    <s v="India"/>
    <n v="2010"/>
    <x v="5"/>
    <x v="0"/>
    <x v="2"/>
    <n v="6.37"/>
    <n v="65.06"/>
    <n v="130.5"/>
    <n v="226.5"/>
    <n v="3.48"/>
    <n v="4.47"/>
    <n v="1.0900000000000001"/>
    <n v="0"/>
    <n v="0"/>
    <x v="1"/>
  </r>
  <r>
    <s v="India"/>
    <n v="2010"/>
    <x v="23"/>
    <x v="1"/>
    <x v="0"/>
    <n v="8.2799999999999994"/>
    <n v="24.4"/>
    <n v="151.33000000000001"/>
    <n v="264.52"/>
    <n v="10.84"/>
    <n v="10.98"/>
    <n v="2.68"/>
    <n v="1"/>
    <n v="1"/>
    <x v="1"/>
  </r>
  <r>
    <s v="India"/>
    <n v="2010"/>
    <x v="67"/>
    <x v="1"/>
    <x v="2"/>
    <n v="6.79"/>
    <n v="44.35"/>
    <n v="101.47"/>
    <n v="105.46"/>
    <n v="2.38"/>
    <n v="10.26"/>
    <n v="2.5099999999999998"/>
    <n v="1"/>
    <n v="1"/>
    <x v="2"/>
  </r>
  <r>
    <s v="India"/>
    <n v="2010"/>
    <x v="28"/>
    <x v="1"/>
    <x v="0"/>
    <n v="8.2899999999999991"/>
    <n v="30.07"/>
    <n v="157.47999999999999"/>
    <n v="161.49"/>
    <n v="5.37"/>
    <n v="3.57"/>
    <n v="0.87"/>
    <n v="1"/>
    <n v="0"/>
    <x v="0"/>
  </r>
  <r>
    <s v="India"/>
    <n v="2010"/>
    <x v="65"/>
    <x v="0"/>
    <x v="3"/>
    <n v="7.43"/>
    <n v="50.58"/>
    <n v="112.24"/>
    <n v="201.93"/>
    <n v="3.99"/>
    <n v="7.03"/>
    <n v="1.72"/>
    <n v="1"/>
    <n v="0"/>
    <x v="1"/>
  </r>
  <r>
    <s v="India"/>
    <n v="2010"/>
    <x v="76"/>
    <x v="1"/>
    <x v="0"/>
    <n v="6.62"/>
    <n v="39.07"/>
    <n v="130.83000000000001"/>
    <n v="191.28"/>
    <n v="4.9000000000000004"/>
    <n v="8.89"/>
    <n v="2.17"/>
    <n v="1"/>
    <n v="0"/>
    <x v="0"/>
  </r>
  <r>
    <s v="India"/>
    <n v="2010"/>
    <x v="66"/>
    <x v="0"/>
    <x v="0"/>
    <n v="8.25"/>
    <n v="58.16"/>
    <n v="176.79"/>
    <n v="177.21"/>
    <n v="3.05"/>
    <n v="10.7"/>
    <n v="2.62"/>
    <n v="1"/>
    <n v="1"/>
    <x v="1"/>
  </r>
  <r>
    <s v="India"/>
    <n v="2010"/>
    <x v="59"/>
    <x v="1"/>
    <x v="0"/>
    <n v="5.64"/>
    <n v="55.06"/>
    <n v="129.21"/>
    <n v="93.84"/>
    <n v="1.7"/>
    <n v="10.01"/>
    <n v="2.4500000000000002"/>
    <n v="0"/>
    <n v="0"/>
    <x v="2"/>
  </r>
  <r>
    <s v="India"/>
    <n v="2010"/>
    <x v="34"/>
    <x v="0"/>
    <x v="1"/>
    <n v="7.72"/>
    <n v="49.97"/>
    <n v="126.91"/>
    <n v="117.72"/>
    <n v="2.36"/>
    <n v="14.73"/>
    <n v="3.6"/>
    <n v="1"/>
    <n v="1"/>
    <x v="2"/>
  </r>
  <r>
    <s v="India"/>
    <n v="2010"/>
    <x v="40"/>
    <x v="1"/>
    <x v="1"/>
    <n v="8.3000000000000007"/>
    <n v="59.49"/>
    <n v="158.49"/>
    <n v="169.45"/>
    <n v="2.85"/>
    <n v="11.5"/>
    <n v="2.81"/>
    <n v="1"/>
    <n v="1"/>
    <x v="0"/>
  </r>
  <r>
    <s v="India"/>
    <n v="2010"/>
    <x v="38"/>
    <x v="0"/>
    <x v="2"/>
    <n v="6.36"/>
    <n v="41.55"/>
    <n v="154.88999999999999"/>
    <n v="280.64999999999998"/>
    <n v="6.75"/>
    <n v="-0.97"/>
    <n v="-0.24"/>
    <n v="0"/>
    <n v="0"/>
    <x v="1"/>
  </r>
  <r>
    <s v="India"/>
    <n v="2010"/>
    <x v="4"/>
    <x v="1"/>
    <x v="1"/>
    <n v="8.3800000000000008"/>
    <n v="32.76"/>
    <n v="155.63"/>
    <n v="181.09"/>
    <n v="5.53"/>
    <n v="12.44"/>
    <n v="3.04"/>
    <n v="1"/>
    <n v="1"/>
    <x v="0"/>
  </r>
  <r>
    <s v="India"/>
    <n v="2010"/>
    <x v="10"/>
    <x v="1"/>
    <x v="0"/>
    <n v="7.59"/>
    <n v="41.59"/>
    <n v="140.25"/>
    <n v="256.99"/>
    <n v="6.18"/>
    <n v="6.25"/>
    <n v="1.53"/>
    <n v="1"/>
    <n v="0"/>
    <x v="1"/>
  </r>
  <r>
    <s v="India"/>
    <n v="2010"/>
    <x v="41"/>
    <x v="0"/>
    <x v="1"/>
    <n v="9.5299999999999994"/>
    <n v="33.020000000000003"/>
    <n v="183.16"/>
    <n v="130.53"/>
    <n v="3.95"/>
    <n v="3.92"/>
    <n v="0.96"/>
    <n v="1"/>
    <n v="0"/>
    <x v="1"/>
  </r>
  <r>
    <s v="India"/>
    <n v="2010"/>
    <x v="59"/>
    <x v="0"/>
    <x v="0"/>
    <n v="6.07"/>
    <n v="39.81"/>
    <n v="182.53"/>
    <n v="128.56"/>
    <n v="3.23"/>
    <n v="7.8"/>
    <n v="1.91"/>
    <n v="0"/>
    <n v="0"/>
    <x v="1"/>
  </r>
  <r>
    <s v="India"/>
    <n v="2010"/>
    <x v="46"/>
    <x v="1"/>
    <x v="0"/>
    <n v="6.8"/>
    <n v="41"/>
    <n v="137.34"/>
    <n v="165.79"/>
    <n v="4.04"/>
    <n v="7.43"/>
    <n v="1.82"/>
    <n v="1"/>
    <n v="0"/>
    <x v="0"/>
  </r>
  <r>
    <s v="India"/>
    <n v="2010"/>
    <x v="8"/>
    <x v="1"/>
    <x v="1"/>
    <n v="7.56"/>
    <n v="54.15"/>
    <n v="144.44"/>
    <n v="174.3"/>
    <n v="3.22"/>
    <n v="6.14"/>
    <n v="1.5"/>
    <n v="1"/>
    <n v="0"/>
    <x v="0"/>
  </r>
  <r>
    <s v="India"/>
    <n v="2010"/>
    <x v="42"/>
    <x v="1"/>
    <x v="1"/>
    <n v="7.53"/>
    <n v="40.880000000000003"/>
    <n v="127.52"/>
    <n v="197.16"/>
    <n v="4.82"/>
    <n v="8.58"/>
    <n v="2.1"/>
    <n v="1"/>
    <n v="0"/>
    <x v="2"/>
  </r>
  <r>
    <s v="India"/>
    <n v="2010"/>
    <x v="4"/>
    <x v="1"/>
    <x v="1"/>
    <n v="7.06"/>
    <n v="39.76"/>
    <n v="133.61000000000001"/>
    <n v="211.68"/>
    <n v="5.32"/>
    <n v="8.34"/>
    <n v="2.04"/>
    <n v="1"/>
    <n v="0"/>
    <x v="1"/>
  </r>
  <r>
    <s v="India"/>
    <n v="2010"/>
    <x v="70"/>
    <x v="0"/>
    <x v="1"/>
    <n v="8.7899999999999991"/>
    <n v="23.05"/>
    <n v="134.19"/>
    <n v="184.69"/>
    <n v="8.01"/>
    <n v="9.24"/>
    <n v="2.2599999999999998"/>
    <n v="1"/>
    <n v="0"/>
    <x v="0"/>
  </r>
  <r>
    <s v="India"/>
    <n v="2010"/>
    <x v="66"/>
    <x v="1"/>
    <x v="0"/>
    <n v="7.64"/>
    <n v="50.27"/>
    <n v="204.56"/>
    <n v="219.53"/>
    <n v="4.37"/>
    <n v="11.62"/>
    <n v="2.84"/>
    <n v="1"/>
    <n v="1"/>
    <x v="1"/>
  </r>
  <r>
    <s v="India"/>
    <n v="2010"/>
    <x v="76"/>
    <x v="0"/>
    <x v="0"/>
    <n v="6.03"/>
    <n v="47.84"/>
    <n v="146.13"/>
    <n v="295.08999999999997"/>
    <n v="6.17"/>
    <n v="9.0299999999999994"/>
    <n v="2.21"/>
    <n v="0"/>
    <n v="0"/>
    <x v="1"/>
  </r>
  <r>
    <s v="India"/>
    <n v="2010"/>
    <x v="54"/>
    <x v="0"/>
    <x v="2"/>
    <n v="5.35"/>
    <n v="45.88"/>
    <n v="126.79"/>
    <n v="198.83"/>
    <n v="4.33"/>
    <n v="9.5299999999999994"/>
    <n v="2.33"/>
    <n v="0"/>
    <n v="0"/>
    <x v="2"/>
  </r>
  <r>
    <s v="India"/>
    <n v="2010"/>
    <x v="62"/>
    <x v="0"/>
    <x v="0"/>
    <n v="6.89"/>
    <n v="46.67"/>
    <n v="160.85"/>
    <n v="128.47"/>
    <n v="2.75"/>
    <n v="9.2100000000000009"/>
    <n v="2.25"/>
    <n v="1"/>
    <n v="0"/>
    <x v="1"/>
  </r>
  <r>
    <s v="India"/>
    <n v="2010"/>
    <x v="68"/>
    <x v="0"/>
    <x v="2"/>
    <n v="6.5"/>
    <n v="53.06"/>
    <n v="192.51"/>
    <n v="146.29"/>
    <n v="2.76"/>
    <n v="5.35"/>
    <n v="1.31"/>
    <n v="1"/>
    <n v="0"/>
    <x v="1"/>
  </r>
  <r>
    <s v="India"/>
    <n v="2010"/>
    <x v="22"/>
    <x v="1"/>
    <x v="0"/>
    <n v="6.16"/>
    <n v="41.07"/>
    <n v="143.44999999999999"/>
    <n v="210.68"/>
    <n v="5.13"/>
    <n v="10.69"/>
    <n v="2.61"/>
    <n v="0"/>
    <n v="1"/>
    <x v="1"/>
  </r>
  <r>
    <s v="India"/>
    <n v="2010"/>
    <x v="80"/>
    <x v="0"/>
    <x v="0"/>
    <n v="8.92"/>
    <n v="45.91"/>
    <n v="135.47999999999999"/>
    <n v="137.07"/>
    <n v="2.99"/>
    <n v="5.59"/>
    <n v="1.37"/>
    <n v="1"/>
    <n v="0"/>
    <x v="0"/>
  </r>
  <r>
    <s v="India"/>
    <n v="2010"/>
    <x v="37"/>
    <x v="1"/>
    <x v="0"/>
    <n v="8.41"/>
    <n v="34.74"/>
    <n v="136.21"/>
    <n v="224.28"/>
    <n v="6.45"/>
    <n v="7.17"/>
    <n v="1.75"/>
    <n v="1"/>
    <n v="0"/>
    <x v="1"/>
  </r>
  <r>
    <s v="India"/>
    <n v="2010"/>
    <x v="41"/>
    <x v="1"/>
    <x v="1"/>
    <n v="7.48"/>
    <n v="62.48"/>
    <n v="117.9"/>
    <n v="201.5"/>
    <n v="3.22"/>
    <n v="13.29"/>
    <n v="3.25"/>
    <n v="1"/>
    <n v="1"/>
    <x v="1"/>
  </r>
  <r>
    <s v="India"/>
    <n v="2010"/>
    <x v="71"/>
    <x v="0"/>
    <x v="2"/>
    <n v="6.36"/>
    <n v="34.11"/>
    <n v="185.85"/>
    <n v="106.58"/>
    <n v="3.13"/>
    <n v="4.3899999999999997"/>
    <n v="1.07"/>
    <n v="0"/>
    <n v="0"/>
    <x v="1"/>
  </r>
  <r>
    <s v="India"/>
    <n v="2010"/>
    <x v="12"/>
    <x v="1"/>
    <x v="0"/>
    <n v="6.82"/>
    <n v="36.64"/>
    <n v="140.69"/>
    <n v="203.48"/>
    <n v="5.55"/>
    <n v="8.39"/>
    <n v="2.0499999999999998"/>
    <n v="1"/>
    <n v="0"/>
    <x v="1"/>
  </r>
  <r>
    <s v="India"/>
    <n v="2010"/>
    <x v="1"/>
    <x v="0"/>
    <x v="1"/>
    <n v="6.82"/>
    <n v="46.85"/>
    <n v="172.36"/>
    <n v="191.6"/>
    <n v="4.09"/>
    <n v="8.9700000000000006"/>
    <n v="2.19"/>
    <n v="1"/>
    <n v="0"/>
    <x v="1"/>
  </r>
  <r>
    <s v="India"/>
    <n v="2010"/>
    <x v="37"/>
    <x v="0"/>
    <x v="0"/>
    <n v="7.56"/>
    <n v="37.61"/>
    <n v="162.83000000000001"/>
    <n v="184.21"/>
    <n v="4.9000000000000004"/>
    <n v="5.18"/>
    <n v="1.27"/>
    <n v="1"/>
    <n v="0"/>
    <x v="1"/>
  </r>
  <r>
    <s v="India"/>
    <n v="2010"/>
    <x v="29"/>
    <x v="0"/>
    <x v="0"/>
    <n v="6.93"/>
    <n v="55.23"/>
    <n v="120.2"/>
    <n v="97.73"/>
    <n v="1.77"/>
    <n v="10.23"/>
    <n v="2.5"/>
    <n v="1"/>
    <n v="1"/>
    <x v="2"/>
  </r>
  <r>
    <s v="India"/>
    <n v="2010"/>
    <x v="74"/>
    <x v="1"/>
    <x v="3"/>
    <n v="7.08"/>
    <n v="50.23"/>
    <n v="170.8"/>
    <n v="157.99"/>
    <n v="3.15"/>
    <n v="4.6399999999999997"/>
    <n v="1.1299999999999999"/>
    <n v="1"/>
    <n v="0"/>
    <x v="1"/>
  </r>
  <r>
    <s v="India"/>
    <n v="2010"/>
    <x v="34"/>
    <x v="0"/>
    <x v="1"/>
    <n v="8.56"/>
    <n v="19.66"/>
    <n v="182.69"/>
    <n v="288.16000000000003"/>
    <n v="14.66"/>
    <n v="14.14"/>
    <n v="3.46"/>
    <n v="1"/>
    <n v="1"/>
    <x v="1"/>
  </r>
  <r>
    <s v="India"/>
    <n v="2010"/>
    <x v="9"/>
    <x v="0"/>
    <x v="2"/>
    <n v="6.54"/>
    <n v="58.57"/>
    <n v="138.43"/>
    <n v="148.34"/>
    <n v="2.5299999999999998"/>
    <n v="6.34"/>
    <n v="1.55"/>
    <n v="1"/>
    <n v="0"/>
    <x v="0"/>
  </r>
  <r>
    <s v="India"/>
    <n v="2010"/>
    <x v="20"/>
    <x v="1"/>
    <x v="1"/>
    <n v="6.25"/>
    <n v="37.76"/>
    <n v="143.15"/>
    <n v="255.67"/>
    <n v="6.77"/>
    <n v="13.62"/>
    <n v="3.33"/>
    <n v="0"/>
    <n v="1"/>
    <x v="1"/>
  </r>
  <r>
    <s v="India"/>
    <n v="2010"/>
    <x v="7"/>
    <x v="0"/>
    <x v="0"/>
    <n v="7.69"/>
    <n v="60.46"/>
    <n v="151.18"/>
    <n v="160.69999999999999"/>
    <n v="2.66"/>
    <n v="12.23"/>
    <n v="2.99"/>
    <n v="1"/>
    <n v="1"/>
    <x v="0"/>
  </r>
  <r>
    <s v="India"/>
    <n v="2010"/>
    <x v="46"/>
    <x v="0"/>
    <x v="0"/>
    <n v="6.84"/>
    <n v="51.89"/>
    <n v="139.91"/>
    <n v="117.05"/>
    <n v="2.2599999999999998"/>
    <n v="7.03"/>
    <n v="1.72"/>
    <n v="1"/>
    <n v="0"/>
    <x v="0"/>
  </r>
  <r>
    <s v="India"/>
    <n v="2010"/>
    <x v="81"/>
    <x v="0"/>
    <x v="0"/>
    <n v="7.73"/>
    <n v="34.700000000000003"/>
    <n v="130.72999999999999"/>
    <n v="124.28"/>
    <n v="3.58"/>
    <n v="11.81"/>
    <n v="2.89"/>
    <n v="1"/>
    <n v="1"/>
    <x v="0"/>
  </r>
  <r>
    <s v="India"/>
    <n v="2010"/>
    <x v="2"/>
    <x v="1"/>
    <x v="2"/>
    <n v="7.79"/>
    <n v="34.14"/>
    <n v="126.24"/>
    <n v="169.18"/>
    <n v="4.96"/>
    <n v="7.77"/>
    <n v="1.9"/>
    <n v="1"/>
    <n v="0"/>
    <x v="2"/>
  </r>
  <r>
    <s v="India"/>
    <n v="2011"/>
    <x v="57"/>
    <x v="1"/>
    <x v="0"/>
    <n v="6.86"/>
    <n v="33.54"/>
    <n v="98.78"/>
    <n v="234.52"/>
    <n v="6.99"/>
    <n v="10.61"/>
    <n v="2.59"/>
    <n v="1"/>
    <n v="1"/>
    <x v="1"/>
  </r>
  <r>
    <s v="India"/>
    <n v="2011"/>
    <x v="4"/>
    <x v="1"/>
    <x v="1"/>
    <n v="8.61"/>
    <n v="41.94"/>
    <n v="179.42"/>
    <n v="105.42"/>
    <n v="2.5099999999999998"/>
    <n v="8.58"/>
    <n v="2.1"/>
    <n v="1"/>
    <n v="0"/>
    <x v="1"/>
  </r>
  <r>
    <s v="India"/>
    <n v="2011"/>
    <x v="21"/>
    <x v="0"/>
    <x v="3"/>
    <n v="7.1"/>
    <n v="60.35"/>
    <n v="133.19999999999999"/>
    <n v="212.9"/>
    <n v="3.53"/>
    <n v="7.56"/>
    <n v="1.85"/>
    <n v="1"/>
    <n v="0"/>
    <x v="1"/>
  </r>
  <r>
    <s v="India"/>
    <n v="2011"/>
    <x v="60"/>
    <x v="1"/>
    <x v="0"/>
    <n v="7.82"/>
    <n v="56.47"/>
    <n v="128.88999999999999"/>
    <n v="258.66000000000003"/>
    <n v="4.58"/>
    <n v="8.34"/>
    <n v="2.04"/>
    <n v="1"/>
    <n v="0"/>
    <x v="1"/>
  </r>
  <r>
    <s v="India"/>
    <n v="2011"/>
    <x v="65"/>
    <x v="0"/>
    <x v="3"/>
    <n v="5.1100000000000003"/>
    <n v="54.47"/>
    <n v="133.53"/>
    <n v="204.02"/>
    <n v="3.75"/>
    <n v="6.49"/>
    <n v="1.59"/>
    <n v="0"/>
    <n v="0"/>
    <x v="1"/>
  </r>
  <r>
    <s v="India"/>
    <n v="2011"/>
    <x v="0"/>
    <x v="1"/>
    <x v="0"/>
    <n v="6.46"/>
    <n v="35.92"/>
    <n v="142.78"/>
    <n v="217.36"/>
    <n v="6.05"/>
    <n v="12.06"/>
    <n v="2.95"/>
    <n v="0"/>
    <n v="1"/>
    <x v="1"/>
  </r>
  <r>
    <s v="India"/>
    <n v="2011"/>
    <x v="40"/>
    <x v="0"/>
    <x v="1"/>
    <n v="6.44"/>
    <n v="42.36"/>
    <n v="103"/>
    <n v="236.69"/>
    <n v="5.59"/>
    <n v="12.42"/>
    <n v="3.04"/>
    <n v="0"/>
    <n v="1"/>
    <x v="1"/>
  </r>
  <r>
    <s v="India"/>
    <n v="2011"/>
    <x v="35"/>
    <x v="0"/>
    <x v="0"/>
    <n v="6.88"/>
    <n v="55.9"/>
    <n v="140.71"/>
    <n v="146.79"/>
    <n v="2.63"/>
    <n v="10.050000000000001"/>
    <n v="2.46"/>
    <n v="1"/>
    <n v="0"/>
    <x v="0"/>
  </r>
  <r>
    <s v="India"/>
    <n v="2011"/>
    <x v="32"/>
    <x v="0"/>
    <x v="0"/>
    <n v="6.83"/>
    <n v="34.799999999999997"/>
    <n v="159.12"/>
    <n v="129.61000000000001"/>
    <n v="3.72"/>
    <n v="5.84"/>
    <n v="1.43"/>
    <n v="1"/>
    <n v="0"/>
    <x v="0"/>
  </r>
  <r>
    <s v="India"/>
    <n v="2011"/>
    <x v="65"/>
    <x v="0"/>
    <x v="3"/>
    <n v="8.6300000000000008"/>
    <n v="44.66"/>
    <n v="160.63999999999999"/>
    <n v="215.14"/>
    <n v="4.82"/>
    <n v="5.01"/>
    <n v="1.22"/>
    <n v="1"/>
    <n v="0"/>
    <x v="1"/>
  </r>
  <r>
    <s v="India"/>
    <n v="2011"/>
    <x v="28"/>
    <x v="0"/>
    <x v="0"/>
    <n v="5.1100000000000003"/>
    <n v="53.67"/>
    <n v="116.15"/>
    <n v="206.51"/>
    <n v="3.85"/>
    <n v="5.9"/>
    <n v="1.44"/>
    <n v="0"/>
    <n v="0"/>
    <x v="1"/>
  </r>
  <r>
    <s v="India"/>
    <n v="2011"/>
    <x v="50"/>
    <x v="0"/>
    <x v="1"/>
    <n v="7.49"/>
    <n v="54.19"/>
    <n v="164.1"/>
    <n v="277.29000000000002"/>
    <n v="5.12"/>
    <n v="9.65"/>
    <n v="2.36"/>
    <n v="1"/>
    <n v="0"/>
    <x v="1"/>
  </r>
  <r>
    <s v="India"/>
    <n v="2011"/>
    <x v="21"/>
    <x v="0"/>
    <x v="3"/>
    <n v="5.48"/>
    <n v="47.41"/>
    <n v="139.99"/>
    <n v="106.61"/>
    <n v="2.25"/>
    <n v="12.58"/>
    <n v="3.07"/>
    <n v="0"/>
    <n v="1"/>
    <x v="0"/>
  </r>
  <r>
    <s v="India"/>
    <n v="2011"/>
    <x v="70"/>
    <x v="0"/>
    <x v="1"/>
    <n v="7.54"/>
    <n v="48.51"/>
    <n v="137.36000000000001"/>
    <n v="226.56"/>
    <n v="4.67"/>
    <n v="12.2"/>
    <n v="2.98"/>
    <n v="1"/>
    <n v="1"/>
    <x v="1"/>
  </r>
  <r>
    <s v="India"/>
    <n v="2011"/>
    <x v="69"/>
    <x v="1"/>
    <x v="0"/>
    <n v="6.04"/>
    <n v="62.99"/>
    <n v="136.72"/>
    <n v="145.5"/>
    <n v="2.31"/>
    <n v="6.13"/>
    <n v="1.5"/>
    <n v="0"/>
    <n v="0"/>
    <x v="0"/>
  </r>
  <r>
    <s v="India"/>
    <n v="2011"/>
    <x v="11"/>
    <x v="1"/>
    <x v="0"/>
    <n v="6.24"/>
    <n v="29.78"/>
    <n v="165.26"/>
    <n v="247.34"/>
    <n v="8.31"/>
    <n v="8.57"/>
    <n v="2.09"/>
    <n v="0"/>
    <n v="0"/>
    <x v="1"/>
  </r>
  <r>
    <s v="India"/>
    <n v="2011"/>
    <x v="59"/>
    <x v="0"/>
    <x v="0"/>
    <n v="7.41"/>
    <n v="48.33"/>
    <n v="143.68"/>
    <n v="148.31"/>
    <n v="3.07"/>
    <n v="8.52"/>
    <n v="2.08"/>
    <n v="1"/>
    <n v="0"/>
    <x v="0"/>
  </r>
  <r>
    <s v="India"/>
    <n v="2011"/>
    <x v="44"/>
    <x v="1"/>
    <x v="1"/>
    <n v="7.73"/>
    <n v="45.25"/>
    <n v="166.57"/>
    <n v="166.23"/>
    <n v="3.67"/>
    <n v="6.95"/>
    <n v="1.7"/>
    <n v="1"/>
    <n v="0"/>
    <x v="1"/>
  </r>
  <r>
    <s v="India"/>
    <n v="2011"/>
    <x v="30"/>
    <x v="0"/>
    <x v="0"/>
    <n v="7.19"/>
    <n v="42.07"/>
    <n v="204.81"/>
    <n v="101.08"/>
    <n v="2.4"/>
    <n v="7.75"/>
    <n v="1.89"/>
    <n v="1"/>
    <n v="0"/>
    <x v="1"/>
  </r>
  <r>
    <s v="India"/>
    <n v="2011"/>
    <x v="25"/>
    <x v="1"/>
    <x v="0"/>
    <n v="7.18"/>
    <n v="33.869999999999997"/>
    <n v="147.68"/>
    <n v="205.74"/>
    <n v="6.07"/>
    <n v="9.16"/>
    <n v="2.2400000000000002"/>
    <n v="1"/>
    <n v="0"/>
    <x v="1"/>
  </r>
  <r>
    <s v="India"/>
    <n v="2011"/>
    <x v="66"/>
    <x v="0"/>
    <x v="0"/>
    <n v="5.86"/>
    <n v="51.02"/>
    <n v="174.12"/>
    <n v="100.37"/>
    <n v="1.97"/>
    <n v="7.65"/>
    <n v="1.87"/>
    <n v="0"/>
    <n v="0"/>
    <x v="1"/>
  </r>
  <r>
    <s v="India"/>
    <n v="2011"/>
    <x v="36"/>
    <x v="1"/>
    <x v="0"/>
    <n v="8.06"/>
    <n v="35.92"/>
    <n v="118.66"/>
    <n v="219.76"/>
    <n v="6.12"/>
    <n v="7.51"/>
    <n v="1.84"/>
    <n v="1"/>
    <n v="0"/>
    <x v="1"/>
  </r>
  <r>
    <s v="India"/>
    <n v="2011"/>
    <x v="57"/>
    <x v="1"/>
    <x v="0"/>
    <n v="7.58"/>
    <n v="56.16"/>
    <n v="129.99"/>
    <n v="129.05000000000001"/>
    <n v="2.2999999999999998"/>
    <n v="4.51"/>
    <n v="1.1000000000000001"/>
    <n v="1"/>
    <n v="0"/>
    <x v="2"/>
  </r>
  <r>
    <s v="India"/>
    <n v="2011"/>
    <x v="4"/>
    <x v="0"/>
    <x v="1"/>
    <n v="8.32"/>
    <n v="40.96"/>
    <n v="151.22999999999999"/>
    <n v="197.22"/>
    <n v="4.82"/>
    <n v="8.4"/>
    <n v="2.0499999999999998"/>
    <n v="1"/>
    <n v="0"/>
    <x v="0"/>
  </r>
  <r>
    <s v="India"/>
    <n v="2011"/>
    <x v="77"/>
    <x v="0"/>
    <x v="0"/>
    <n v="6.63"/>
    <n v="42.55"/>
    <n v="144.49"/>
    <n v="140.82"/>
    <n v="3.31"/>
    <n v="12.94"/>
    <n v="3.16"/>
    <n v="1"/>
    <n v="1"/>
    <x v="0"/>
  </r>
  <r>
    <s v="India"/>
    <n v="2011"/>
    <x v="14"/>
    <x v="1"/>
    <x v="0"/>
    <n v="7.57"/>
    <n v="44.59"/>
    <n v="155.25"/>
    <n v="164.12"/>
    <n v="3.68"/>
    <n v="6.55"/>
    <n v="1.6"/>
    <n v="1"/>
    <n v="0"/>
    <x v="0"/>
  </r>
  <r>
    <s v="India"/>
    <n v="2011"/>
    <x v="35"/>
    <x v="0"/>
    <x v="0"/>
    <n v="8.14"/>
    <n v="45.83"/>
    <n v="152.87"/>
    <n v="260.92"/>
    <n v="5.69"/>
    <n v="9.6300000000000008"/>
    <n v="2.35"/>
    <n v="1"/>
    <n v="0"/>
    <x v="1"/>
  </r>
  <r>
    <s v="India"/>
    <n v="2011"/>
    <x v="26"/>
    <x v="1"/>
    <x v="0"/>
    <n v="5.99"/>
    <n v="33.369999999999997"/>
    <n v="137.80000000000001"/>
    <n v="131.35"/>
    <n v="3.94"/>
    <n v="8.85"/>
    <n v="2.16"/>
    <n v="0"/>
    <n v="0"/>
    <x v="0"/>
  </r>
  <r>
    <s v="India"/>
    <n v="2011"/>
    <x v="48"/>
    <x v="0"/>
    <x v="0"/>
    <n v="7.28"/>
    <n v="40.89"/>
    <n v="167.2"/>
    <n v="117.89"/>
    <n v="2.88"/>
    <n v="10.08"/>
    <n v="2.4700000000000002"/>
    <n v="1"/>
    <n v="0"/>
    <x v="1"/>
  </r>
  <r>
    <s v="India"/>
    <n v="2011"/>
    <x v="22"/>
    <x v="1"/>
    <x v="0"/>
    <n v="8.24"/>
    <n v="45.5"/>
    <n v="78.03"/>
    <n v="185.32"/>
    <n v="4.07"/>
    <n v="8.08"/>
    <n v="1.97"/>
    <n v="1"/>
    <n v="0"/>
    <x v="2"/>
  </r>
  <r>
    <s v="India"/>
    <n v="2011"/>
    <x v="80"/>
    <x v="0"/>
    <x v="0"/>
    <n v="7.38"/>
    <n v="45.72"/>
    <n v="114.72"/>
    <n v="309.56"/>
    <n v="6.77"/>
    <n v="8.6300000000000008"/>
    <n v="2.11"/>
    <n v="1"/>
    <n v="0"/>
    <x v="1"/>
  </r>
  <r>
    <s v="India"/>
    <n v="2011"/>
    <x v="13"/>
    <x v="1"/>
    <x v="1"/>
    <n v="6.88"/>
    <n v="34.67"/>
    <n v="110.47"/>
    <n v="174.25"/>
    <n v="5.03"/>
    <n v="11.52"/>
    <n v="2.82"/>
    <n v="1"/>
    <n v="1"/>
    <x v="2"/>
  </r>
  <r>
    <s v="India"/>
    <n v="2011"/>
    <x v="77"/>
    <x v="1"/>
    <x v="0"/>
    <n v="7.7"/>
    <n v="45.29"/>
    <n v="107.78"/>
    <n v="131.82"/>
    <n v="2.91"/>
    <n v="5.97"/>
    <n v="1.46"/>
    <n v="1"/>
    <n v="0"/>
    <x v="2"/>
  </r>
  <r>
    <s v="India"/>
    <n v="2011"/>
    <x v="37"/>
    <x v="0"/>
    <x v="0"/>
    <n v="7.02"/>
    <n v="39.880000000000003"/>
    <n v="189.86"/>
    <n v="167.89"/>
    <n v="4.21"/>
    <n v="8.18"/>
    <n v="2"/>
    <n v="1"/>
    <n v="0"/>
    <x v="1"/>
  </r>
  <r>
    <s v="India"/>
    <n v="2011"/>
    <x v="57"/>
    <x v="1"/>
    <x v="0"/>
    <n v="8.51"/>
    <n v="48.93"/>
    <n v="136.57"/>
    <n v="147.44"/>
    <n v="3.01"/>
    <n v="9.19"/>
    <n v="2.25"/>
    <n v="1"/>
    <n v="0"/>
    <x v="0"/>
  </r>
  <r>
    <s v="India"/>
    <n v="2011"/>
    <x v="40"/>
    <x v="0"/>
    <x v="1"/>
    <n v="9.4700000000000006"/>
    <n v="52.71"/>
    <n v="153.43"/>
    <n v="140.41"/>
    <n v="2.66"/>
    <n v="3.97"/>
    <n v="0.97"/>
    <n v="1"/>
    <n v="0"/>
    <x v="0"/>
  </r>
  <r>
    <s v="India"/>
    <n v="2011"/>
    <x v="8"/>
    <x v="0"/>
    <x v="1"/>
    <n v="6.68"/>
    <n v="49.83"/>
    <n v="144.1"/>
    <n v="199.5"/>
    <n v="4"/>
    <n v="9.39"/>
    <n v="2.2999999999999998"/>
    <n v="1"/>
    <n v="0"/>
    <x v="0"/>
  </r>
  <r>
    <s v="India"/>
    <n v="2011"/>
    <x v="75"/>
    <x v="0"/>
    <x v="1"/>
    <n v="8.75"/>
    <n v="39.58"/>
    <n v="181.65"/>
    <n v="262.33999999999997"/>
    <n v="6.63"/>
    <n v="16.22"/>
    <n v="3.96"/>
    <n v="1"/>
    <n v="1"/>
    <x v="1"/>
  </r>
  <r>
    <s v="India"/>
    <n v="2011"/>
    <x v="75"/>
    <x v="0"/>
    <x v="1"/>
    <n v="8.98"/>
    <n v="31.77"/>
    <n v="173.73"/>
    <n v="171.41"/>
    <n v="5.4"/>
    <n v="5.88"/>
    <n v="1.44"/>
    <n v="1"/>
    <n v="0"/>
    <x v="1"/>
  </r>
  <r>
    <s v="India"/>
    <n v="2011"/>
    <x v="21"/>
    <x v="0"/>
    <x v="3"/>
    <n v="7.05"/>
    <n v="40.22"/>
    <n v="165.47"/>
    <n v="106.96"/>
    <n v="2.66"/>
    <n v="6.23"/>
    <n v="1.52"/>
    <n v="1"/>
    <n v="0"/>
    <x v="1"/>
  </r>
  <r>
    <s v="India"/>
    <n v="2011"/>
    <x v="65"/>
    <x v="1"/>
    <x v="3"/>
    <n v="5.49"/>
    <n v="49.67"/>
    <n v="102.88"/>
    <n v="239.66"/>
    <n v="4.83"/>
    <n v="8.02"/>
    <n v="1.96"/>
    <n v="0"/>
    <n v="0"/>
    <x v="1"/>
  </r>
  <r>
    <s v="India"/>
    <n v="2011"/>
    <x v="16"/>
    <x v="0"/>
    <x v="0"/>
    <n v="6.34"/>
    <n v="30.99"/>
    <n v="147.46"/>
    <n v="206.91"/>
    <n v="6.68"/>
    <n v="5.7"/>
    <n v="1.39"/>
    <n v="0"/>
    <n v="0"/>
    <x v="1"/>
  </r>
  <r>
    <s v="India"/>
    <n v="2011"/>
    <x v="82"/>
    <x v="0"/>
    <x v="0"/>
    <n v="6.76"/>
    <n v="49.03"/>
    <n v="120.03"/>
    <n v="214.85"/>
    <n v="4.38"/>
    <n v="10.8"/>
    <n v="2.64"/>
    <n v="1"/>
    <n v="1"/>
    <x v="1"/>
  </r>
  <r>
    <s v="India"/>
    <n v="2011"/>
    <x v="82"/>
    <x v="1"/>
    <x v="0"/>
    <n v="8.36"/>
    <n v="40.28"/>
    <n v="102.37"/>
    <n v="161.5"/>
    <n v="4.01"/>
    <n v="10.93"/>
    <n v="2.67"/>
    <n v="1"/>
    <n v="1"/>
    <x v="2"/>
  </r>
  <r>
    <s v="India"/>
    <n v="2011"/>
    <x v="77"/>
    <x v="1"/>
    <x v="0"/>
    <n v="8.18"/>
    <n v="51.29"/>
    <n v="123.23"/>
    <n v="129.76"/>
    <n v="2.5299999999999998"/>
    <n v="7.94"/>
    <n v="1.94"/>
    <n v="1"/>
    <n v="0"/>
    <x v="2"/>
  </r>
  <r>
    <s v="India"/>
    <n v="2011"/>
    <x v="62"/>
    <x v="0"/>
    <x v="0"/>
    <n v="5.62"/>
    <n v="44.6"/>
    <n v="128.6"/>
    <n v="215.26"/>
    <n v="4.83"/>
    <n v="6.35"/>
    <n v="1.55"/>
    <n v="0"/>
    <n v="0"/>
    <x v="1"/>
  </r>
  <r>
    <s v="India"/>
    <n v="2011"/>
    <x v="54"/>
    <x v="0"/>
    <x v="2"/>
    <n v="5.62"/>
    <n v="60.13"/>
    <n v="164.01"/>
    <n v="76.19"/>
    <n v="1.27"/>
    <n v="9.82"/>
    <n v="2.4"/>
    <n v="0"/>
    <n v="0"/>
    <x v="1"/>
  </r>
  <r>
    <s v="India"/>
    <n v="2011"/>
    <x v="69"/>
    <x v="1"/>
    <x v="0"/>
    <n v="7.16"/>
    <n v="48.03"/>
    <n v="161.32"/>
    <n v="218.5"/>
    <n v="4.55"/>
    <n v="7.4"/>
    <n v="1.81"/>
    <n v="1"/>
    <n v="0"/>
    <x v="1"/>
  </r>
  <r>
    <s v="India"/>
    <n v="2011"/>
    <x v="56"/>
    <x v="1"/>
    <x v="1"/>
    <n v="7.06"/>
    <n v="31.7"/>
    <n v="192.07"/>
    <n v="106.28"/>
    <n v="3.35"/>
    <n v="13.21"/>
    <n v="3.23"/>
    <n v="1"/>
    <n v="1"/>
    <x v="1"/>
  </r>
  <r>
    <s v="India"/>
    <n v="2011"/>
    <x v="73"/>
    <x v="1"/>
    <x v="2"/>
    <n v="4.51"/>
    <n v="55.99"/>
    <n v="152.12"/>
    <n v="156.78"/>
    <n v="2.8"/>
    <n v="8.3000000000000007"/>
    <n v="2.0299999999999998"/>
    <n v="0"/>
    <n v="0"/>
    <x v="0"/>
  </r>
  <r>
    <s v="India"/>
    <n v="2012"/>
    <x v="39"/>
    <x v="0"/>
    <x v="1"/>
    <n v="7.75"/>
    <n v="24.25"/>
    <n v="145.81"/>
    <n v="237.57"/>
    <n v="9.8000000000000007"/>
    <n v="8.32"/>
    <n v="2.0299999999999998"/>
    <n v="1"/>
    <n v="0"/>
    <x v="1"/>
  </r>
  <r>
    <s v="India"/>
    <n v="2012"/>
    <x v="34"/>
    <x v="1"/>
    <x v="1"/>
    <n v="9.59"/>
    <n v="46.78"/>
    <n v="126.69"/>
    <n v="143.22999999999999"/>
    <n v="3.06"/>
    <n v="14.59"/>
    <n v="3.57"/>
    <n v="1"/>
    <n v="1"/>
    <x v="2"/>
  </r>
  <r>
    <s v="India"/>
    <n v="2012"/>
    <x v="17"/>
    <x v="1"/>
    <x v="0"/>
    <n v="7.6"/>
    <n v="55.83"/>
    <n v="190.14"/>
    <n v="94.58"/>
    <n v="1.69"/>
    <n v="5.64"/>
    <n v="1.38"/>
    <n v="1"/>
    <n v="0"/>
    <x v="1"/>
  </r>
  <r>
    <s v="India"/>
    <n v="2012"/>
    <x v="83"/>
    <x v="0"/>
    <x v="1"/>
    <n v="7.3"/>
    <n v="35.54"/>
    <n v="186.47"/>
    <n v="291.88"/>
    <n v="8.2100000000000009"/>
    <n v="6.77"/>
    <n v="1.66"/>
    <n v="1"/>
    <n v="0"/>
    <x v="1"/>
  </r>
  <r>
    <s v="India"/>
    <n v="2012"/>
    <x v="75"/>
    <x v="0"/>
    <x v="1"/>
    <n v="8.16"/>
    <n v="40.69"/>
    <n v="222.98"/>
    <n v="213.09"/>
    <n v="5.24"/>
    <n v="9.77"/>
    <n v="2.39"/>
    <n v="1"/>
    <n v="0"/>
    <x v="1"/>
  </r>
  <r>
    <s v="India"/>
    <n v="2012"/>
    <x v="9"/>
    <x v="0"/>
    <x v="2"/>
    <n v="7.17"/>
    <n v="41.59"/>
    <n v="112.27"/>
    <n v="99.8"/>
    <n v="2.4"/>
    <n v="6.95"/>
    <n v="1.7"/>
    <n v="1"/>
    <n v="0"/>
    <x v="2"/>
  </r>
  <r>
    <s v="India"/>
    <n v="2012"/>
    <x v="16"/>
    <x v="1"/>
    <x v="0"/>
    <n v="6.44"/>
    <n v="29.26"/>
    <n v="144.19"/>
    <n v="150.81"/>
    <n v="5.15"/>
    <n v="5.78"/>
    <n v="1.41"/>
    <n v="0"/>
    <n v="0"/>
    <x v="0"/>
  </r>
  <r>
    <s v="India"/>
    <n v="2012"/>
    <x v="51"/>
    <x v="0"/>
    <x v="2"/>
    <n v="7.05"/>
    <n v="56.54"/>
    <n v="140.88999999999999"/>
    <n v="123.76"/>
    <n v="2.19"/>
    <n v="7.5"/>
    <n v="1.83"/>
    <n v="1"/>
    <n v="0"/>
    <x v="0"/>
  </r>
  <r>
    <s v="India"/>
    <n v="2012"/>
    <x v="35"/>
    <x v="1"/>
    <x v="0"/>
    <n v="8.09"/>
    <n v="38"/>
    <n v="128.13999999999999"/>
    <n v="234.62"/>
    <n v="6.17"/>
    <n v="8.17"/>
    <n v="2"/>
    <n v="1"/>
    <n v="0"/>
    <x v="1"/>
  </r>
  <r>
    <s v="India"/>
    <n v="2012"/>
    <x v="9"/>
    <x v="0"/>
    <x v="2"/>
    <n v="6.28"/>
    <n v="58.47"/>
    <n v="136.21"/>
    <n v="227.81"/>
    <n v="3.9"/>
    <n v="8.84"/>
    <n v="2.16"/>
    <n v="0"/>
    <n v="0"/>
    <x v="1"/>
  </r>
  <r>
    <s v="India"/>
    <n v="2012"/>
    <x v="3"/>
    <x v="1"/>
    <x v="0"/>
    <n v="7.84"/>
    <n v="37.799999999999997"/>
    <n v="100.41"/>
    <n v="158.72999999999999"/>
    <n v="4.2"/>
    <n v="4.82"/>
    <n v="1.18"/>
    <n v="1"/>
    <n v="0"/>
    <x v="2"/>
  </r>
  <r>
    <s v="India"/>
    <n v="2012"/>
    <x v="3"/>
    <x v="0"/>
    <x v="0"/>
    <n v="6.24"/>
    <n v="55.66"/>
    <n v="149.84"/>
    <n v="165.41"/>
    <n v="2.97"/>
    <n v="11.04"/>
    <n v="2.7"/>
    <n v="0"/>
    <n v="1"/>
    <x v="0"/>
  </r>
  <r>
    <s v="India"/>
    <n v="2012"/>
    <x v="17"/>
    <x v="1"/>
    <x v="0"/>
    <n v="6.17"/>
    <n v="40.82"/>
    <n v="161.41"/>
    <n v="226.67"/>
    <n v="5.55"/>
    <n v="11.57"/>
    <n v="2.83"/>
    <n v="0"/>
    <n v="1"/>
    <x v="1"/>
  </r>
  <r>
    <s v="India"/>
    <n v="2012"/>
    <x v="69"/>
    <x v="1"/>
    <x v="0"/>
    <n v="7.26"/>
    <n v="49.07"/>
    <n v="105.84"/>
    <n v="123.01"/>
    <n v="2.5099999999999998"/>
    <n v="8.01"/>
    <n v="1.96"/>
    <n v="1"/>
    <n v="0"/>
    <x v="2"/>
  </r>
  <r>
    <s v="India"/>
    <n v="2012"/>
    <x v="38"/>
    <x v="1"/>
    <x v="2"/>
    <n v="7.42"/>
    <n v="56.88"/>
    <n v="166.58"/>
    <n v="172.01"/>
    <n v="3.02"/>
    <n v="5.88"/>
    <n v="1.44"/>
    <n v="1"/>
    <n v="0"/>
    <x v="1"/>
  </r>
  <r>
    <s v="India"/>
    <n v="2012"/>
    <x v="76"/>
    <x v="1"/>
    <x v="0"/>
    <n v="7.8"/>
    <n v="45.79"/>
    <n v="125.12"/>
    <n v="160.41"/>
    <n v="3.5"/>
    <n v="10.81"/>
    <n v="2.64"/>
    <n v="1"/>
    <n v="1"/>
    <x v="2"/>
  </r>
  <r>
    <s v="India"/>
    <n v="2012"/>
    <x v="39"/>
    <x v="0"/>
    <x v="1"/>
    <n v="7.75"/>
    <n v="35.869999999999997"/>
    <n v="173.12"/>
    <n v="204.75"/>
    <n v="5.71"/>
    <n v="10.96"/>
    <n v="2.68"/>
    <n v="1"/>
    <n v="1"/>
    <x v="1"/>
  </r>
  <r>
    <s v="India"/>
    <n v="2012"/>
    <x v="73"/>
    <x v="0"/>
    <x v="2"/>
    <n v="7.77"/>
    <n v="24.57"/>
    <n v="154.49"/>
    <n v="181.37"/>
    <n v="7.38"/>
    <n v="7.18"/>
    <n v="1.76"/>
    <n v="1"/>
    <n v="0"/>
    <x v="0"/>
  </r>
  <r>
    <s v="India"/>
    <n v="2012"/>
    <x v="61"/>
    <x v="1"/>
    <x v="1"/>
    <n v="6.99"/>
    <n v="42.07"/>
    <n v="140.56"/>
    <n v="294.39999999999998"/>
    <n v="7"/>
    <n v="9.08"/>
    <n v="2.2200000000000002"/>
    <n v="1"/>
    <n v="0"/>
    <x v="1"/>
  </r>
  <r>
    <s v="India"/>
    <n v="2012"/>
    <x v="45"/>
    <x v="1"/>
    <x v="2"/>
    <n v="6.71"/>
    <n v="45.4"/>
    <n v="112.62"/>
    <n v="80.540000000000006"/>
    <n v="1.77"/>
    <n v="6.12"/>
    <n v="1.5"/>
    <n v="1"/>
    <n v="0"/>
    <x v="2"/>
  </r>
  <r>
    <s v="India"/>
    <n v="2012"/>
    <x v="58"/>
    <x v="0"/>
    <x v="3"/>
    <n v="8.06"/>
    <n v="48.67"/>
    <n v="137.57"/>
    <n v="202.48"/>
    <n v="4.16"/>
    <n v="6.08"/>
    <n v="1.49"/>
    <n v="1"/>
    <n v="0"/>
    <x v="1"/>
  </r>
  <r>
    <s v="India"/>
    <n v="2012"/>
    <x v="57"/>
    <x v="0"/>
    <x v="0"/>
    <n v="6.62"/>
    <n v="40.880000000000003"/>
    <n v="160.41999999999999"/>
    <n v="194.91"/>
    <n v="4.7699999999999996"/>
    <n v="4.8"/>
    <n v="1.17"/>
    <n v="1"/>
    <n v="0"/>
    <x v="1"/>
  </r>
  <r>
    <s v="India"/>
    <n v="2012"/>
    <x v="43"/>
    <x v="1"/>
    <x v="0"/>
    <n v="6.98"/>
    <n v="45.06"/>
    <n v="181.7"/>
    <n v="171.22"/>
    <n v="3.8"/>
    <n v="10.65"/>
    <n v="2.6"/>
    <n v="1"/>
    <n v="1"/>
    <x v="1"/>
  </r>
  <r>
    <s v="India"/>
    <n v="2012"/>
    <x v="33"/>
    <x v="1"/>
    <x v="3"/>
    <n v="6.3"/>
    <n v="56.15"/>
    <n v="93.22"/>
    <n v="162.29"/>
    <n v="2.89"/>
    <n v="5.96"/>
    <n v="1.46"/>
    <n v="0"/>
    <n v="0"/>
    <x v="2"/>
  </r>
  <r>
    <s v="India"/>
    <n v="2012"/>
    <x v="84"/>
    <x v="0"/>
    <x v="0"/>
    <n v="7.7"/>
    <n v="28.58"/>
    <n v="154.11000000000001"/>
    <n v="202.06"/>
    <n v="7.07"/>
    <n v="11.34"/>
    <n v="2.77"/>
    <n v="1"/>
    <n v="1"/>
    <x v="1"/>
  </r>
  <r>
    <s v="India"/>
    <n v="2012"/>
    <x v="8"/>
    <x v="0"/>
    <x v="1"/>
    <n v="7.61"/>
    <n v="47.93"/>
    <n v="136.99"/>
    <n v="172.08"/>
    <n v="3.59"/>
    <n v="10.61"/>
    <n v="2.59"/>
    <n v="1"/>
    <n v="1"/>
    <x v="0"/>
  </r>
  <r>
    <s v="India"/>
    <n v="2012"/>
    <x v="84"/>
    <x v="1"/>
    <x v="0"/>
    <n v="6.54"/>
    <n v="36.700000000000003"/>
    <n v="151.62"/>
    <n v="193.29"/>
    <n v="5.27"/>
    <n v="8.75"/>
    <n v="2.14"/>
    <n v="1"/>
    <n v="0"/>
    <x v="0"/>
  </r>
  <r>
    <s v="India"/>
    <n v="2012"/>
    <x v="0"/>
    <x v="0"/>
    <x v="0"/>
    <n v="5.81"/>
    <n v="49.06"/>
    <n v="157.26"/>
    <n v="150.68"/>
    <n v="3.07"/>
    <n v="5.45"/>
    <n v="1.33"/>
    <n v="0"/>
    <n v="0"/>
    <x v="0"/>
  </r>
  <r>
    <s v="India"/>
    <n v="2012"/>
    <x v="69"/>
    <x v="0"/>
    <x v="0"/>
    <n v="7.09"/>
    <n v="55.91"/>
    <n v="138.88999999999999"/>
    <n v="117.08"/>
    <n v="2.09"/>
    <n v="7.32"/>
    <n v="1.79"/>
    <n v="1"/>
    <n v="0"/>
    <x v="0"/>
  </r>
  <r>
    <s v="India"/>
    <n v="2012"/>
    <x v="32"/>
    <x v="0"/>
    <x v="0"/>
    <n v="7.98"/>
    <n v="25.03"/>
    <n v="175.32"/>
    <n v="87.79"/>
    <n v="3.51"/>
    <n v="7.53"/>
    <n v="1.84"/>
    <n v="1"/>
    <n v="0"/>
    <x v="1"/>
  </r>
  <r>
    <s v="India"/>
    <n v="2012"/>
    <x v="42"/>
    <x v="1"/>
    <x v="1"/>
    <n v="7.94"/>
    <n v="45.65"/>
    <n v="130.03"/>
    <n v="197.44"/>
    <n v="4.33"/>
    <n v="10.57"/>
    <n v="2.58"/>
    <n v="1"/>
    <n v="1"/>
    <x v="0"/>
  </r>
  <r>
    <s v="India"/>
    <n v="2012"/>
    <x v="3"/>
    <x v="0"/>
    <x v="0"/>
    <n v="8.58"/>
    <n v="38.299999999999997"/>
    <n v="182.2"/>
    <n v="229.86"/>
    <n v="6"/>
    <n v="7.96"/>
    <n v="1.95"/>
    <n v="1"/>
    <n v="0"/>
    <x v="1"/>
  </r>
  <r>
    <s v="India"/>
    <n v="2012"/>
    <x v="55"/>
    <x v="1"/>
    <x v="1"/>
    <n v="6.34"/>
    <n v="40.82"/>
    <n v="177.11"/>
    <n v="130.01"/>
    <n v="3.19"/>
    <n v="9.16"/>
    <n v="2.2400000000000002"/>
    <n v="0"/>
    <n v="0"/>
    <x v="1"/>
  </r>
  <r>
    <s v="India"/>
    <n v="2012"/>
    <x v="46"/>
    <x v="0"/>
    <x v="0"/>
    <n v="6.8"/>
    <n v="30.04"/>
    <n v="119.19"/>
    <n v="265.66000000000003"/>
    <n v="8.84"/>
    <n v="6.8"/>
    <n v="1.66"/>
    <n v="1"/>
    <n v="0"/>
    <x v="1"/>
  </r>
  <r>
    <s v="India"/>
    <n v="2012"/>
    <x v="37"/>
    <x v="1"/>
    <x v="0"/>
    <n v="7.47"/>
    <n v="44.99"/>
    <n v="130.55000000000001"/>
    <n v="205.01"/>
    <n v="4.5599999999999996"/>
    <n v="6.16"/>
    <n v="1.51"/>
    <n v="1"/>
    <n v="0"/>
    <x v="1"/>
  </r>
  <r>
    <s v="India"/>
    <n v="2012"/>
    <x v="60"/>
    <x v="1"/>
    <x v="0"/>
    <n v="8.16"/>
    <n v="41.44"/>
    <n v="182.55"/>
    <n v="212.77"/>
    <n v="5.13"/>
    <n v="4.88"/>
    <n v="1.19"/>
    <n v="1"/>
    <n v="0"/>
    <x v="1"/>
  </r>
  <r>
    <s v="India"/>
    <n v="2012"/>
    <x v="54"/>
    <x v="1"/>
    <x v="2"/>
    <n v="7.63"/>
    <n v="60.66"/>
    <n v="127.06"/>
    <n v="216.81"/>
    <n v="3.57"/>
    <n v="8.58"/>
    <n v="2.1"/>
    <n v="1"/>
    <n v="0"/>
    <x v="1"/>
  </r>
  <r>
    <s v="India"/>
    <n v="2012"/>
    <x v="12"/>
    <x v="1"/>
    <x v="0"/>
    <n v="7.89"/>
    <n v="44.55"/>
    <n v="193"/>
    <n v="180.82"/>
    <n v="4.0599999999999996"/>
    <n v="10.8"/>
    <n v="2.64"/>
    <n v="1"/>
    <n v="1"/>
    <x v="1"/>
  </r>
  <r>
    <s v="India"/>
    <n v="2012"/>
    <x v="64"/>
    <x v="0"/>
    <x v="0"/>
    <n v="8.3000000000000007"/>
    <n v="47.11"/>
    <n v="156.35"/>
    <n v="274.51"/>
    <n v="5.83"/>
    <n v="8.44"/>
    <n v="2.06"/>
    <n v="1"/>
    <n v="0"/>
    <x v="1"/>
  </r>
  <r>
    <s v="India"/>
    <n v="2012"/>
    <x v="9"/>
    <x v="1"/>
    <x v="2"/>
    <n v="6.63"/>
    <n v="41.24"/>
    <n v="124.16"/>
    <n v="174.12"/>
    <n v="4.22"/>
    <n v="6.72"/>
    <n v="1.64"/>
    <n v="1"/>
    <n v="0"/>
    <x v="2"/>
  </r>
  <r>
    <s v="India"/>
    <n v="2012"/>
    <x v="18"/>
    <x v="1"/>
    <x v="3"/>
    <n v="7.22"/>
    <n v="33.42"/>
    <n v="124.61"/>
    <n v="168.02"/>
    <n v="5.03"/>
    <n v="4.68"/>
    <n v="1.1399999999999999"/>
    <n v="1"/>
    <n v="0"/>
    <x v="2"/>
  </r>
  <r>
    <s v="India"/>
    <n v="2012"/>
    <x v="18"/>
    <x v="1"/>
    <x v="3"/>
    <n v="8.2899999999999991"/>
    <n v="62.44"/>
    <n v="154.56"/>
    <n v="180.01"/>
    <n v="2.88"/>
    <n v="9.2100000000000009"/>
    <n v="2.25"/>
    <n v="1"/>
    <n v="0"/>
    <x v="0"/>
  </r>
  <r>
    <s v="India"/>
    <n v="2012"/>
    <x v="3"/>
    <x v="1"/>
    <x v="0"/>
    <n v="6.2"/>
    <n v="45.3"/>
    <n v="140.22999999999999"/>
    <n v="187.34"/>
    <n v="4.1399999999999997"/>
    <n v="15.59"/>
    <n v="3.81"/>
    <n v="0"/>
    <n v="1"/>
    <x v="0"/>
  </r>
  <r>
    <s v="India"/>
    <n v="2012"/>
    <x v="2"/>
    <x v="0"/>
    <x v="2"/>
    <n v="5.83"/>
    <n v="48.38"/>
    <n v="187.66"/>
    <n v="132.29"/>
    <n v="2.73"/>
    <n v="4.3600000000000003"/>
    <n v="1.07"/>
    <n v="0"/>
    <n v="0"/>
    <x v="1"/>
  </r>
  <r>
    <s v="India"/>
    <n v="2012"/>
    <x v="37"/>
    <x v="0"/>
    <x v="0"/>
    <n v="6.27"/>
    <n v="39.770000000000003"/>
    <n v="165.82"/>
    <n v="262.51"/>
    <n v="6.6"/>
    <n v="11.55"/>
    <n v="2.82"/>
    <n v="0"/>
    <n v="1"/>
    <x v="1"/>
  </r>
  <r>
    <s v="India"/>
    <n v="2012"/>
    <x v="21"/>
    <x v="0"/>
    <x v="3"/>
    <n v="5.68"/>
    <n v="40.049999999999997"/>
    <n v="129.21"/>
    <n v="162.57"/>
    <n v="4.0599999999999996"/>
    <n v="9.3699999999999992"/>
    <n v="2.29"/>
    <n v="0"/>
    <n v="0"/>
    <x v="2"/>
  </r>
  <r>
    <s v="India"/>
    <n v="2012"/>
    <x v="21"/>
    <x v="1"/>
    <x v="3"/>
    <n v="6.35"/>
    <n v="54.99"/>
    <n v="138.51"/>
    <n v="211.29"/>
    <n v="3.84"/>
    <n v="7.21"/>
    <n v="1.76"/>
    <n v="0"/>
    <n v="0"/>
    <x v="1"/>
  </r>
  <r>
    <s v="India"/>
    <n v="2012"/>
    <x v="43"/>
    <x v="0"/>
    <x v="0"/>
    <n v="7.2"/>
    <n v="38.74"/>
    <n v="163.54"/>
    <n v="157.28"/>
    <n v="4.0599999999999996"/>
    <n v="8.15"/>
    <n v="1.99"/>
    <n v="1"/>
    <n v="0"/>
    <x v="1"/>
  </r>
  <r>
    <s v="India"/>
    <n v="2012"/>
    <x v="37"/>
    <x v="0"/>
    <x v="0"/>
    <n v="7.57"/>
    <n v="42.29"/>
    <n v="155.72"/>
    <n v="204.55"/>
    <n v="4.84"/>
    <n v="12.07"/>
    <n v="2.95"/>
    <n v="1"/>
    <n v="1"/>
    <x v="1"/>
  </r>
  <r>
    <s v="India"/>
    <n v="2012"/>
    <x v="10"/>
    <x v="0"/>
    <x v="0"/>
    <n v="9.06"/>
    <n v="43.72"/>
    <n v="155.19"/>
    <n v="179.22"/>
    <n v="4.0999999999999996"/>
    <n v="9.51"/>
    <n v="2.3199999999999998"/>
    <n v="1"/>
    <n v="0"/>
    <x v="0"/>
  </r>
  <r>
    <s v="India"/>
    <n v="2013"/>
    <x v="56"/>
    <x v="1"/>
    <x v="1"/>
    <n v="8.7899999999999991"/>
    <n v="53.23"/>
    <n v="180.13"/>
    <n v="74.38"/>
    <n v="1.4"/>
    <n v="2.4900000000000002"/>
    <n v="0.61"/>
    <n v="1"/>
    <n v="0"/>
    <x v="1"/>
  </r>
  <r>
    <s v="India"/>
    <n v="2013"/>
    <x v="55"/>
    <x v="1"/>
    <x v="1"/>
    <n v="7.08"/>
    <n v="37.729999999999997"/>
    <n v="167.81"/>
    <n v="246.35"/>
    <n v="6.53"/>
    <n v="9.3000000000000007"/>
    <n v="2.27"/>
    <n v="1"/>
    <n v="0"/>
    <x v="1"/>
  </r>
  <r>
    <s v="India"/>
    <n v="2013"/>
    <x v="68"/>
    <x v="0"/>
    <x v="2"/>
    <n v="7.49"/>
    <n v="54.31"/>
    <n v="133.15"/>
    <n v="218.43"/>
    <n v="4.0199999999999996"/>
    <n v="7.33"/>
    <n v="1.79"/>
    <n v="1"/>
    <n v="0"/>
    <x v="1"/>
  </r>
  <r>
    <s v="India"/>
    <n v="2013"/>
    <x v="3"/>
    <x v="1"/>
    <x v="0"/>
    <n v="8.65"/>
    <n v="59.06"/>
    <n v="149.81"/>
    <n v="179.48"/>
    <n v="3.04"/>
    <n v="5.43"/>
    <n v="1.33"/>
    <n v="1"/>
    <n v="0"/>
    <x v="0"/>
  </r>
  <r>
    <s v="India"/>
    <n v="2013"/>
    <x v="78"/>
    <x v="1"/>
    <x v="0"/>
    <n v="5.92"/>
    <n v="54.49"/>
    <n v="171.49"/>
    <n v="223.59"/>
    <n v="4.0999999999999996"/>
    <n v="13.21"/>
    <n v="3.23"/>
    <n v="0"/>
    <n v="1"/>
    <x v="1"/>
  </r>
  <r>
    <s v="India"/>
    <n v="2013"/>
    <x v="74"/>
    <x v="0"/>
    <x v="3"/>
    <n v="7.17"/>
    <n v="35.5"/>
    <n v="89.73"/>
    <n v="219.71"/>
    <n v="6.19"/>
    <n v="6.79"/>
    <n v="1.66"/>
    <n v="1"/>
    <n v="0"/>
    <x v="1"/>
  </r>
  <r>
    <s v="India"/>
    <n v="2013"/>
    <x v="69"/>
    <x v="1"/>
    <x v="0"/>
    <n v="9.16"/>
    <n v="43.97"/>
    <n v="182.06"/>
    <n v="104.62"/>
    <n v="2.38"/>
    <n v="7.48"/>
    <n v="1.83"/>
    <n v="1"/>
    <n v="0"/>
    <x v="1"/>
  </r>
  <r>
    <s v="India"/>
    <n v="2013"/>
    <x v="68"/>
    <x v="0"/>
    <x v="2"/>
    <n v="5.46"/>
    <n v="66.209999999999994"/>
    <n v="111.49"/>
    <n v="195.31"/>
    <n v="2.95"/>
    <n v="-0.27"/>
    <n v="-7.0000000000000007E-2"/>
    <n v="0"/>
    <n v="0"/>
    <x v="2"/>
  </r>
  <r>
    <s v="India"/>
    <n v="2013"/>
    <x v="12"/>
    <x v="0"/>
    <x v="0"/>
    <n v="8.27"/>
    <n v="27.36"/>
    <n v="163.80000000000001"/>
    <n v="131.44"/>
    <n v="4.8"/>
    <n v="6.34"/>
    <n v="1.55"/>
    <n v="1"/>
    <n v="0"/>
    <x v="1"/>
  </r>
  <r>
    <s v="India"/>
    <n v="2013"/>
    <x v="22"/>
    <x v="0"/>
    <x v="0"/>
    <n v="6.2"/>
    <n v="57.59"/>
    <n v="140.66999999999999"/>
    <n v="178.68"/>
    <n v="3.1"/>
    <n v="8.85"/>
    <n v="2.16"/>
    <n v="0"/>
    <n v="0"/>
    <x v="0"/>
  </r>
  <r>
    <s v="India"/>
    <n v="2013"/>
    <x v="10"/>
    <x v="0"/>
    <x v="0"/>
    <n v="7.24"/>
    <n v="48.61"/>
    <n v="165.68"/>
    <n v="106.35"/>
    <n v="2.19"/>
    <n v="7.88"/>
    <n v="1.93"/>
    <n v="1"/>
    <n v="0"/>
    <x v="1"/>
  </r>
  <r>
    <s v="India"/>
    <n v="2013"/>
    <x v="75"/>
    <x v="1"/>
    <x v="1"/>
    <n v="6.12"/>
    <n v="36.549999999999997"/>
    <n v="105.05"/>
    <n v="206.5"/>
    <n v="5.65"/>
    <n v="8.4600000000000009"/>
    <n v="2.0699999999999998"/>
    <n v="0"/>
    <n v="0"/>
    <x v="1"/>
  </r>
  <r>
    <s v="India"/>
    <n v="2013"/>
    <x v="18"/>
    <x v="1"/>
    <x v="3"/>
    <n v="6.31"/>
    <n v="62.4"/>
    <n v="119.34"/>
    <n v="186.32"/>
    <n v="2.99"/>
    <n v="5.22"/>
    <n v="1.28"/>
    <n v="0"/>
    <n v="0"/>
    <x v="2"/>
  </r>
  <r>
    <s v="India"/>
    <n v="2013"/>
    <x v="47"/>
    <x v="0"/>
    <x v="0"/>
    <n v="7.08"/>
    <n v="47.67"/>
    <n v="108.75"/>
    <n v="177.74"/>
    <n v="3.73"/>
    <n v="10.38"/>
    <n v="2.54"/>
    <n v="1"/>
    <n v="1"/>
    <x v="2"/>
  </r>
  <r>
    <s v="India"/>
    <n v="2013"/>
    <x v="82"/>
    <x v="0"/>
    <x v="0"/>
    <n v="6.45"/>
    <n v="47.77"/>
    <n v="174.89"/>
    <n v="84.4"/>
    <n v="1.77"/>
    <n v="13.99"/>
    <n v="3.42"/>
    <n v="0"/>
    <n v="1"/>
    <x v="1"/>
  </r>
  <r>
    <s v="India"/>
    <n v="2013"/>
    <x v="54"/>
    <x v="1"/>
    <x v="2"/>
    <n v="7.55"/>
    <n v="40.24"/>
    <n v="151.63999999999999"/>
    <n v="164.97"/>
    <n v="4.0999999999999996"/>
    <n v="3.93"/>
    <n v="0.96"/>
    <n v="1"/>
    <n v="0"/>
    <x v="0"/>
  </r>
  <r>
    <s v="India"/>
    <n v="2013"/>
    <x v="28"/>
    <x v="0"/>
    <x v="0"/>
    <n v="7.74"/>
    <n v="44.05"/>
    <n v="150.53"/>
    <n v="179.45"/>
    <n v="4.07"/>
    <n v="9.0299999999999994"/>
    <n v="2.21"/>
    <n v="1"/>
    <n v="0"/>
    <x v="0"/>
  </r>
  <r>
    <s v="India"/>
    <n v="2013"/>
    <x v="63"/>
    <x v="0"/>
    <x v="1"/>
    <n v="9.27"/>
    <n v="27.42"/>
    <n v="159.79"/>
    <n v="266.57"/>
    <n v="9.7200000000000006"/>
    <n v="9.27"/>
    <n v="2.27"/>
    <n v="1"/>
    <n v="0"/>
    <x v="1"/>
  </r>
  <r>
    <s v="India"/>
    <n v="2013"/>
    <x v="32"/>
    <x v="1"/>
    <x v="0"/>
    <n v="7.51"/>
    <n v="38.71"/>
    <n v="161.77000000000001"/>
    <n v="160.26"/>
    <n v="4.1399999999999997"/>
    <n v="4.3499999999999996"/>
    <n v="1.06"/>
    <n v="1"/>
    <n v="0"/>
    <x v="1"/>
  </r>
  <r>
    <s v="India"/>
    <n v="2013"/>
    <x v="80"/>
    <x v="1"/>
    <x v="0"/>
    <n v="7.48"/>
    <n v="67.430000000000007"/>
    <n v="169.08"/>
    <n v="226.61"/>
    <n v="3.36"/>
    <n v="7.29"/>
    <n v="1.78"/>
    <n v="1"/>
    <n v="0"/>
    <x v="1"/>
  </r>
  <r>
    <s v="India"/>
    <n v="2013"/>
    <x v="39"/>
    <x v="1"/>
    <x v="1"/>
    <n v="6.19"/>
    <n v="46.72"/>
    <n v="129.25"/>
    <n v="233.08"/>
    <n v="4.99"/>
    <n v="5"/>
    <n v="1.22"/>
    <n v="0"/>
    <n v="0"/>
    <x v="1"/>
  </r>
  <r>
    <s v="India"/>
    <n v="2013"/>
    <x v="6"/>
    <x v="0"/>
    <x v="1"/>
    <n v="7.79"/>
    <n v="54.45"/>
    <n v="150.88999999999999"/>
    <n v="200.81"/>
    <n v="3.69"/>
    <n v="9.4499999999999993"/>
    <n v="2.31"/>
    <n v="1"/>
    <n v="0"/>
    <x v="1"/>
  </r>
  <r>
    <s v="India"/>
    <n v="2013"/>
    <x v="31"/>
    <x v="0"/>
    <x v="1"/>
    <n v="7.76"/>
    <n v="25.13"/>
    <n v="137.47"/>
    <n v="321.67"/>
    <n v="12.8"/>
    <n v="11.04"/>
    <n v="2.7"/>
    <n v="1"/>
    <n v="1"/>
    <x v="1"/>
  </r>
  <r>
    <s v="India"/>
    <n v="2013"/>
    <x v="40"/>
    <x v="1"/>
    <x v="1"/>
    <n v="9.49"/>
    <n v="32.619999999999997"/>
    <n v="163.37"/>
    <n v="233.12"/>
    <n v="7.15"/>
    <n v="10.119999999999999"/>
    <n v="2.4700000000000002"/>
    <n v="1"/>
    <n v="0"/>
    <x v="1"/>
  </r>
  <r>
    <s v="India"/>
    <n v="2013"/>
    <x v="31"/>
    <x v="1"/>
    <x v="1"/>
    <n v="9.39"/>
    <n v="42.23"/>
    <n v="120.51"/>
    <n v="153.41999999999999"/>
    <n v="3.63"/>
    <n v="8.77"/>
    <n v="2.14"/>
    <n v="1"/>
    <n v="0"/>
    <x v="2"/>
  </r>
  <r>
    <s v="India"/>
    <n v="2013"/>
    <x v="9"/>
    <x v="1"/>
    <x v="2"/>
    <n v="5.15"/>
    <n v="56.98"/>
    <n v="106.24"/>
    <n v="176.85"/>
    <n v="3.1"/>
    <n v="4.04"/>
    <n v="0.99"/>
    <n v="0"/>
    <n v="0"/>
    <x v="2"/>
  </r>
  <r>
    <s v="India"/>
    <n v="2013"/>
    <x v="47"/>
    <x v="1"/>
    <x v="0"/>
    <n v="6.29"/>
    <n v="47.05"/>
    <n v="143.08000000000001"/>
    <n v="167.14"/>
    <n v="3.55"/>
    <n v="6.43"/>
    <n v="1.57"/>
    <n v="0"/>
    <n v="0"/>
    <x v="0"/>
  </r>
  <r>
    <s v="India"/>
    <n v="2013"/>
    <x v="4"/>
    <x v="1"/>
    <x v="1"/>
    <n v="8.01"/>
    <n v="35.39"/>
    <n v="198.7"/>
    <n v="211.9"/>
    <n v="5.99"/>
    <n v="11.7"/>
    <n v="2.86"/>
    <n v="1"/>
    <n v="1"/>
    <x v="1"/>
  </r>
  <r>
    <s v="India"/>
    <n v="2013"/>
    <x v="18"/>
    <x v="0"/>
    <x v="3"/>
    <n v="7.03"/>
    <n v="44.31"/>
    <n v="110.75"/>
    <n v="169.84"/>
    <n v="3.83"/>
    <n v="9.14"/>
    <n v="2.23"/>
    <n v="1"/>
    <n v="0"/>
    <x v="2"/>
  </r>
  <r>
    <s v="India"/>
    <n v="2013"/>
    <x v="30"/>
    <x v="1"/>
    <x v="0"/>
    <n v="6.95"/>
    <n v="47.36"/>
    <n v="147.12"/>
    <n v="182.01"/>
    <n v="3.84"/>
    <n v="10.17"/>
    <n v="2.4900000000000002"/>
    <n v="1"/>
    <n v="0"/>
    <x v="0"/>
  </r>
  <r>
    <s v="India"/>
    <n v="2013"/>
    <x v="17"/>
    <x v="0"/>
    <x v="0"/>
    <n v="7.72"/>
    <n v="54.26"/>
    <n v="176.02"/>
    <n v="124.26"/>
    <n v="2.29"/>
    <n v="15.41"/>
    <n v="3.77"/>
    <n v="1"/>
    <n v="1"/>
    <x v="1"/>
  </r>
  <r>
    <s v="India"/>
    <n v="2013"/>
    <x v="30"/>
    <x v="1"/>
    <x v="0"/>
    <n v="8.8800000000000008"/>
    <n v="52.5"/>
    <n v="186.07"/>
    <n v="187.47"/>
    <n v="3.57"/>
    <n v="10.36"/>
    <n v="2.5299999999999998"/>
    <n v="1"/>
    <n v="1"/>
    <x v="1"/>
  </r>
  <r>
    <s v="India"/>
    <n v="2013"/>
    <x v="63"/>
    <x v="1"/>
    <x v="1"/>
    <n v="7.9"/>
    <n v="29.62"/>
    <n v="155.37"/>
    <n v="165.74"/>
    <n v="5.59"/>
    <n v="11.9"/>
    <n v="2.91"/>
    <n v="1"/>
    <n v="1"/>
    <x v="0"/>
  </r>
  <r>
    <s v="India"/>
    <n v="2013"/>
    <x v="83"/>
    <x v="1"/>
    <x v="1"/>
    <n v="8.33"/>
    <n v="46.01"/>
    <n v="171.84"/>
    <n v="131.1"/>
    <n v="2.85"/>
    <n v="10.43"/>
    <n v="2.5499999999999998"/>
    <n v="1"/>
    <n v="1"/>
    <x v="1"/>
  </r>
  <r>
    <s v="India"/>
    <n v="2013"/>
    <x v="41"/>
    <x v="1"/>
    <x v="1"/>
    <n v="8.8800000000000008"/>
    <n v="66.03"/>
    <n v="159.91"/>
    <n v="242.72"/>
    <n v="3.68"/>
    <n v="6.8"/>
    <n v="1.66"/>
    <n v="1"/>
    <n v="0"/>
    <x v="1"/>
  </r>
  <r>
    <s v="India"/>
    <n v="2013"/>
    <x v="31"/>
    <x v="0"/>
    <x v="1"/>
    <n v="7.55"/>
    <n v="53.68"/>
    <n v="139.85"/>
    <n v="194.85"/>
    <n v="3.63"/>
    <n v="8.6300000000000008"/>
    <n v="2.11"/>
    <n v="1"/>
    <n v="0"/>
    <x v="0"/>
  </r>
  <r>
    <s v="India"/>
    <n v="2013"/>
    <x v="76"/>
    <x v="1"/>
    <x v="0"/>
    <n v="9.23"/>
    <n v="49.95"/>
    <n v="174.39"/>
    <n v="213.35"/>
    <n v="4.2699999999999996"/>
    <n v="9.93"/>
    <n v="2.4300000000000002"/>
    <n v="1"/>
    <n v="0"/>
    <x v="1"/>
  </r>
  <r>
    <s v="India"/>
    <n v="2013"/>
    <x v="79"/>
    <x v="0"/>
    <x v="3"/>
    <n v="7.26"/>
    <n v="32.42"/>
    <n v="140.41"/>
    <n v="164.73"/>
    <n v="5.08"/>
    <n v="5.0199999999999996"/>
    <n v="1.23"/>
    <n v="1"/>
    <n v="0"/>
    <x v="0"/>
  </r>
  <r>
    <s v="India"/>
    <n v="2013"/>
    <x v="26"/>
    <x v="0"/>
    <x v="0"/>
    <n v="6.77"/>
    <n v="48.89"/>
    <n v="106.11"/>
    <n v="153.41999999999999"/>
    <n v="3.14"/>
    <n v="2.8"/>
    <n v="0.68"/>
    <n v="1"/>
    <n v="0"/>
    <x v="2"/>
  </r>
  <r>
    <s v="India"/>
    <n v="2013"/>
    <x v="69"/>
    <x v="0"/>
    <x v="0"/>
    <n v="6.05"/>
    <n v="46.05"/>
    <n v="164.45"/>
    <n v="191.39"/>
    <n v="4.16"/>
    <n v="2.25"/>
    <n v="0.55000000000000004"/>
    <n v="0"/>
    <n v="0"/>
    <x v="1"/>
  </r>
  <r>
    <s v="India"/>
    <n v="2013"/>
    <x v="52"/>
    <x v="0"/>
    <x v="1"/>
    <n v="6.6"/>
    <n v="27.29"/>
    <n v="134.88"/>
    <n v="207.38"/>
    <n v="7.6"/>
    <n v="2.29"/>
    <n v="0.56000000000000005"/>
    <n v="1"/>
    <n v="0"/>
    <x v="1"/>
  </r>
  <r>
    <s v="India"/>
    <n v="2013"/>
    <x v="26"/>
    <x v="1"/>
    <x v="0"/>
    <n v="6.25"/>
    <n v="45.85"/>
    <n v="168.88"/>
    <n v="281.95999999999998"/>
    <n v="6.15"/>
    <n v="10.73"/>
    <n v="2.62"/>
    <n v="0"/>
    <n v="1"/>
    <x v="1"/>
  </r>
  <r>
    <s v="India"/>
    <n v="2013"/>
    <x v="5"/>
    <x v="1"/>
    <x v="2"/>
    <n v="5.99"/>
    <n v="28.19"/>
    <n v="81.52"/>
    <n v="104.71"/>
    <n v="3.71"/>
    <n v="10.06"/>
    <n v="2.46"/>
    <n v="0"/>
    <n v="0"/>
    <x v="2"/>
  </r>
  <r>
    <s v="India"/>
    <n v="2013"/>
    <x v="69"/>
    <x v="1"/>
    <x v="0"/>
    <n v="9.2100000000000009"/>
    <n v="30.2"/>
    <n v="153.27000000000001"/>
    <n v="159.91999999999999"/>
    <n v="5.29"/>
    <n v="4.08"/>
    <n v="1"/>
    <n v="1"/>
    <n v="0"/>
    <x v="0"/>
  </r>
  <r>
    <s v="India"/>
    <n v="2013"/>
    <x v="84"/>
    <x v="1"/>
    <x v="0"/>
    <n v="7.34"/>
    <n v="41.55"/>
    <n v="145.09"/>
    <n v="308.44"/>
    <n v="7.42"/>
    <n v="9.6"/>
    <n v="2.35"/>
    <n v="1"/>
    <n v="0"/>
    <x v="1"/>
  </r>
  <r>
    <s v="India"/>
    <n v="2013"/>
    <x v="56"/>
    <x v="0"/>
    <x v="1"/>
    <n v="6.37"/>
    <n v="34.880000000000003"/>
    <n v="141.69"/>
    <n v="212.25"/>
    <n v="6.08"/>
    <n v="15.78"/>
    <n v="3.86"/>
    <n v="0"/>
    <n v="1"/>
    <x v="1"/>
  </r>
  <r>
    <s v="India"/>
    <n v="2013"/>
    <x v="52"/>
    <x v="1"/>
    <x v="1"/>
    <n v="6.38"/>
    <n v="55.33"/>
    <n v="184.19"/>
    <n v="135.26"/>
    <n v="2.44"/>
    <n v="11.59"/>
    <n v="2.83"/>
    <n v="0"/>
    <n v="1"/>
    <x v="1"/>
  </r>
  <r>
    <s v="India"/>
    <n v="2013"/>
    <x v="37"/>
    <x v="0"/>
    <x v="0"/>
    <n v="7.94"/>
    <n v="53.75"/>
    <n v="143.30000000000001"/>
    <n v="221.12"/>
    <n v="4.1100000000000003"/>
    <n v="10.88"/>
    <n v="2.66"/>
    <n v="1"/>
    <n v="1"/>
    <x v="1"/>
  </r>
  <r>
    <s v="India"/>
    <n v="2013"/>
    <x v="29"/>
    <x v="1"/>
    <x v="0"/>
    <n v="6.88"/>
    <n v="44.54"/>
    <n v="123.7"/>
    <n v="163.32"/>
    <n v="3.67"/>
    <n v="8.02"/>
    <n v="1.96"/>
    <n v="1"/>
    <n v="0"/>
    <x v="2"/>
  </r>
  <r>
    <s v="India"/>
    <n v="2013"/>
    <x v="43"/>
    <x v="1"/>
    <x v="0"/>
    <n v="7.58"/>
    <n v="40.15"/>
    <n v="183.92"/>
    <n v="135.65"/>
    <n v="3.38"/>
    <n v="10.220000000000001"/>
    <n v="2.5"/>
    <n v="1"/>
    <n v="0"/>
    <x v="1"/>
  </r>
  <r>
    <s v="India"/>
    <n v="2014"/>
    <x v="49"/>
    <x v="0"/>
    <x v="0"/>
    <n v="7.97"/>
    <n v="28.36"/>
    <n v="151.13"/>
    <n v="266.5"/>
    <n v="9.4"/>
    <n v="8.91"/>
    <n v="2.1800000000000002"/>
    <n v="1"/>
    <n v="0"/>
    <x v="1"/>
  </r>
  <r>
    <s v="India"/>
    <n v="2014"/>
    <x v="0"/>
    <x v="0"/>
    <x v="0"/>
    <n v="7.49"/>
    <n v="39.880000000000003"/>
    <n v="170.75"/>
    <n v="107.03"/>
    <n v="2.68"/>
    <n v="11.52"/>
    <n v="2.82"/>
    <n v="1"/>
    <n v="1"/>
    <x v="1"/>
  </r>
  <r>
    <s v="India"/>
    <n v="2014"/>
    <x v="51"/>
    <x v="0"/>
    <x v="2"/>
    <n v="6.45"/>
    <n v="38.43"/>
    <n v="152.49"/>
    <n v="282.79000000000002"/>
    <n v="7.36"/>
    <n v="7.12"/>
    <n v="1.74"/>
    <n v="0"/>
    <n v="0"/>
    <x v="1"/>
  </r>
  <r>
    <s v="India"/>
    <n v="2014"/>
    <x v="19"/>
    <x v="1"/>
    <x v="1"/>
    <n v="7.56"/>
    <n v="46.07"/>
    <n v="176.08"/>
    <n v="194.48"/>
    <n v="4.22"/>
    <n v="11.7"/>
    <n v="2.86"/>
    <n v="1"/>
    <n v="1"/>
    <x v="1"/>
  </r>
  <r>
    <s v="India"/>
    <n v="2014"/>
    <x v="68"/>
    <x v="1"/>
    <x v="2"/>
    <n v="5.97"/>
    <n v="36.049999999999997"/>
    <n v="178.73"/>
    <n v="156.31"/>
    <n v="4.34"/>
    <n v="4.49"/>
    <n v="1.1000000000000001"/>
    <n v="0"/>
    <n v="0"/>
    <x v="1"/>
  </r>
  <r>
    <s v="India"/>
    <n v="2014"/>
    <x v="21"/>
    <x v="1"/>
    <x v="3"/>
    <n v="6.95"/>
    <n v="44.05"/>
    <n v="152.41"/>
    <n v="207.9"/>
    <n v="4.72"/>
    <n v="1.33"/>
    <n v="0.33"/>
    <n v="1"/>
    <n v="0"/>
    <x v="1"/>
  </r>
  <r>
    <s v="India"/>
    <n v="2014"/>
    <x v="59"/>
    <x v="1"/>
    <x v="0"/>
    <n v="6.17"/>
    <n v="33.630000000000003"/>
    <n v="184.43"/>
    <n v="182.52"/>
    <n v="5.43"/>
    <n v="11.51"/>
    <n v="2.81"/>
    <n v="0"/>
    <n v="1"/>
    <x v="1"/>
  </r>
  <r>
    <s v="India"/>
    <n v="2014"/>
    <x v="55"/>
    <x v="0"/>
    <x v="1"/>
    <n v="8.74"/>
    <n v="34.479999999999997"/>
    <n v="167.59"/>
    <n v="204.82"/>
    <n v="5.94"/>
    <n v="9.77"/>
    <n v="2.39"/>
    <n v="1"/>
    <n v="0"/>
    <x v="1"/>
  </r>
  <r>
    <s v="India"/>
    <n v="2014"/>
    <x v="31"/>
    <x v="0"/>
    <x v="1"/>
    <n v="7.53"/>
    <n v="46.86"/>
    <n v="140.69999999999999"/>
    <n v="182.57"/>
    <n v="3.9"/>
    <n v="14.79"/>
    <n v="3.61"/>
    <n v="1"/>
    <n v="1"/>
    <x v="0"/>
  </r>
  <r>
    <s v="India"/>
    <n v="2014"/>
    <x v="80"/>
    <x v="1"/>
    <x v="0"/>
    <n v="7.35"/>
    <n v="56.23"/>
    <n v="149.51"/>
    <n v="89.34"/>
    <n v="1.59"/>
    <n v="13.04"/>
    <n v="3.19"/>
    <n v="1"/>
    <n v="1"/>
    <x v="0"/>
  </r>
  <r>
    <s v="India"/>
    <n v="2014"/>
    <x v="1"/>
    <x v="0"/>
    <x v="1"/>
    <n v="10.02"/>
    <n v="57.92"/>
    <n v="198.55"/>
    <n v="228.83"/>
    <n v="3.95"/>
    <n v="7.93"/>
    <n v="1.94"/>
    <n v="1"/>
    <n v="0"/>
    <x v="1"/>
  </r>
  <r>
    <s v="India"/>
    <n v="2014"/>
    <x v="26"/>
    <x v="0"/>
    <x v="0"/>
    <n v="7.18"/>
    <n v="25.96"/>
    <n v="145.63999999999999"/>
    <n v="203.26"/>
    <n v="7.83"/>
    <n v="6.9"/>
    <n v="1.69"/>
    <n v="1"/>
    <n v="0"/>
    <x v="1"/>
  </r>
  <r>
    <s v="India"/>
    <n v="2014"/>
    <x v="4"/>
    <x v="0"/>
    <x v="1"/>
    <n v="9.6300000000000008"/>
    <n v="41.04"/>
    <n v="132.22999999999999"/>
    <n v="179.05"/>
    <n v="4.3600000000000003"/>
    <n v="14.52"/>
    <n v="3.55"/>
    <n v="1"/>
    <n v="1"/>
    <x v="0"/>
  </r>
  <r>
    <s v="India"/>
    <n v="2014"/>
    <x v="68"/>
    <x v="1"/>
    <x v="2"/>
    <n v="7.08"/>
    <n v="38.25"/>
    <n v="121.42"/>
    <n v="121.65"/>
    <n v="3.18"/>
    <n v="6.52"/>
    <n v="1.59"/>
    <n v="1"/>
    <n v="0"/>
    <x v="2"/>
  </r>
  <r>
    <s v="India"/>
    <n v="2014"/>
    <x v="10"/>
    <x v="0"/>
    <x v="0"/>
    <n v="7.23"/>
    <n v="53.12"/>
    <n v="159.69999999999999"/>
    <n v="250.96"/>
    <n v="4.72"/>
    <n v="8.6199999999999992"/>
    <n v="2.11"/>
    <n v="1"/>
    <n v="0"/>
    <x v="1"/>
  </r>
  <r>
    <s v="India"/>
    <n v="2014"/>
    <x v="58"/>
    <x v="1"/>
    <x v="3"/>
    <n v="7.71"/>
    <n v="65.98"/>
    <n v="170.83"/>
    <n v="301.17"/>
    <n v="4.5599999999999996"/>
    <n v="6.74"/>
    <n v="1.65"/>
    <n v="1"/>
    <n v="0"/>
    <x v="1"/>
  </r>
  <r>
    <s v="India"/>
    <n v="2014"/>
    <x v="65"/>
    <x v="1"/>
    <x v="3"/>
    <n v="6.78"/>
    <n v="52.15"/>
    <n v="165.15"/>
    <n v="167.04"/>
    <n v="3.2"/>
    <n v="8.33"/>
    <n v="2.04"/>
    <n v="1"/>
    <n v="0"/>
    <x v="1"/>
  </r>
  <r>
    <s v="India"/>
    <n v="2014"/>
    <x v="60"/>
    <x v="1"/>
    <x v="0"/>
    <n v="6.63"/>
    <n v="61.48"/>
    <n v="131.31"/>
    <n v="92.72"/>
    <n v="1.51"/>
    <n v="7.63"/>
    <n v="1.86"/>
    <n v="1"/>
    <n v="0"/>
    <x v="0"/>
  </r>
  <r>
    <s v="India"/>
    <n v="2014"/>
    <x v="70"/>
    <x v="0"/>
    <x v="1"/>
    <n v="7.98"/>
    <n v="39.979999999999997"/>
    <n v="180.7"/>
    <n v="225.35"/>
    <n v="5.64"/>
    <n v="10.18"/>
    <n v="2.4900000000000002"/>
    <n v="1"/>
    <n v="0"/>
    <x v="1"/>
  </r>
  <r>
    <s v="India"/>
    <n v="2014"/>
    <x v="46"/>
    <x v="0"/>
    <x v="0"/>
    <n v="6.81"/>
    <n v="52.49"/>
    <n v="183.8"/>
    <n v="133.09"/>
    <n v="2.54"/>
    <n v="5.0599999999999996"/>
    <n v="1.24"/>
    <n v="1"/>
    <n v="0"/>
    <x v="1"/>
  </r>
  <r>
    <s v="India"/>
    <n v="2014"/>
    <x v="50"/>
    <x v="1"/>
    <x v="1"/>
    <n v="8.02"/>
    <n v="21.7"/>
    <n v="168.38"/>
    <n v="125.34"/>
    <n v="5.78"/>
    <n v="11.9"/>
    <n v="2.91"/>
    <n v="1"/>
    <n v="1"/>
    <x v="1"/>
  </r>
  <r>
    <s v="India"/>
    <n v="2014"/>
    <x v="63"/>
    <x v="0"/>
    <x v="1"/>
    <n v="8.08"/>
    <n v="32.29"/>
    <n v="148.47"/>
    <n v="141.13"/>
    <n v="4.37"/>
    <n v="16.739999999999998"/>
    <n v="4.09"/>
    <n v="1"/>
    <n v="1"/>
    <x v="0"/>
  </r>
  <r>
    <s v="India"/>
    <n v="2014"/>
    <x v="45"/>
    <x v="0"/>
    <x v="2"/>
    <n v="7.6"/>
    <n v="36.32"/>
    <n v="134.6"/>
    <n v="90.38"/>
    <n v="2.4900000000000002"/>
    <n v="6.36"/>
    <n v="1.56"/>
    <n v="1"/>
    <n v="0"/>
    <x v="0"/>
  </r>
  <r>
    <s v="India"/>
    <n v="2014"/>
    <x v="47"/>
    <x v="0"/>
    <x v="0"/>
    <n v="8.06"/>
    <n v="54.92"/>
    <n v="173.84"/>
    <n v="212.21"/>
    <n v="3.86"/>
    <n v="3.41"/>
    <n v="0.83"/>
    <n v="1"/>
    <n v="0"/>
    <x v="1"/>
  </r>
  <r>
    <s v="India"/>
    <n v="2014"/>
    <x v="55"/>
    <x v="1"/>
    <x v="1"/>
    <n v="7.31"/>
    <n v="44.08"/>
    <n v="186.54"/>
    <n v="261.66000000000003"/>
    <n v="5.94"/>
    <n v="10.34"/>
    <n v="2.5299999999999998"/>
    <n v="1"/>
    <n v="1"/>
    <x v="1"/>
  </r>
  <r>
    <s v="India"/>
    <n v="2014"/>
    <x v="35"/>
    <x v="0"/>
    <x v="0"/>
    <n v="5.92"/>
    <n v="38.909999999999997"/>
    <n v="174.86"/>
    <n v="147.26"/>
    <n v="3.78"/>
    <n v="9.32"/>
    <n v="2.2799999999999998"/>
    <n v="0"/>
    <n v="0"/>
    <x v="1"/>
  </r>
  <r>
    <s v="India"/>
    <n v="2014"/>
    <x v="33"/>
    <x v="1"/>
    <x v="3"/>
    <n v="6.92"/>
    <n v="42.11"/>
    <n v="139.52000000000001"/>
    <n v="156.97"/>
    <n v="3.73"/>
    <n v="7.91"/>
    <n v="1.93"/>
    <n v="1"/>
    <n v="0"/>
    <x v="0"/>
  </r>
  <r>
    <s v="India"/>
    <n v="2014"/>
    <x v="78"/>
    <x v="1"/>
    <x v="0"/>
    <n v="7.03"/>
    <n v="48.97"/>
    <n v="150.1"/>
    <n v="255.72"/>
    <n v="5.22"/>
    <n v="5.14"/>
    <n v="1.26"/>
    <n v="1"/>
    <n v="0"/>
    <x v="1"/>
  </r>
  <r>
    <s v="India"/>
    <n v="2014"/>
    <x v="80"/>
    <x v="0"/>
    <x v="0"/>
    <n v="7.84"/>
    <n v="51.59"/>
    <n v="138.32"/>
    <n v="143.25"/>
    <n v="2.78"/>
    <n v="2.04"/>
    <n v="0.5"/>
    <n v="1"/>
    <n v="0"/>
    <x v="0"/>
  </r>
  <r>
    <s v="India"/>
    <n v="2014"/>
    <x v="14"/>
    <x v="1"/>
    <x v="0"/>
    <n v="8.14"/>
    <n v="38.380000000000003"/>
    <n v="167.19"/>
    <n v="256.56"/>
    <n v="6.68"/>
    <n v="10.07"/>
    <n v="2.46"/>
    <n v="1"/>
    <n v="0"/>
    <x v="1"/>
  </r>
  <r>
    <s v="India"/>
    <n v="2014"/>
    <x v="11"/>
    <x v="1"/>
    <x v="0"/>
    <n v="7.75"/>
    <n v="46.33"/>
    <n v="126.32"/>
    <n v="172.73"/>
    <n v="3.73"/>
    <n v="8.33"/>
    <n v="2.04"/>
    <n v="1"/>
    <n v="0"/>
    <x v="2"/>
  </r>
  <r>
    <s v="India"/>
    <n v="2014"/>
    <x v="34"/>
    <x v="0"/>
    <x v="1"/>
    <n v="8.9499999999999993"/>
    <n v="36.549999999999997"/>
    <n v="130.33000000000001"/>
    <n v="209"/>
    <n v="5.72"/>
    <n v="5.81"/>
    <n v="1.42"/>
    <n v="1"/>
    <n v="0"/>
    <x v="1"/>
  </r>
  <r>
    <s v="India"/>
    <n v="2014"/>
    <x v="81"/>
    <x v="0"/>
    <x v="0"/>
    <n v="6.29"/>
    <n v="34.51"/>
    <n v="127.87"/>
    <n v="200.17"/>
    <n v="5.8"/>
    <n v="7.26"/>
    <n v="1.77"/>
    <n v="0"/>
    <n v="0"/>
    <x v="1"/>
  </r>
  <r>
    <s v="India"/>
    <n v="2014"/>
    <x v="28"/>
    <x v="1"/>
    <x v="0"/>
    <n v="8.1300000000000008"/>
    <n v="44.49"/>
    <n v="129.22"/>
    <n v="111.08"/>
    <n v="2.5"/>
    <n v="10"/>
    <n v="2.44"/>
    <n v="1"/>
    <n v="0"/>
    <x v="2"/>
  </r>
  <r>
    <s v="India"/>
    <n v="2014"/>
    <x v="0"/>
    <x v="1"/>
    <x v="0"/>
    <n v="8.41"/>
    <n v="34.51"/>
    <n v="173.03"/>
    <n v="168.22"/>
    <n v="4.87"/>
    <n v="7.91"/>
    <n v="1.93"/>
    <n v="1"/>
    <n v="0"/>
    <x v="1"/>
  </r>
  <r>
    <s v="India"/>
    <n v="2014"/>
    <x v="40"/>
    <x v="1"/>
    <x v="1"/>
    <n v="6.57"/>
    <n v="37.28"/>
    <n v="143.41999999999999"/>
    <n v="216.87"/>
    <n v="5.82"/>
    <n v="5.76"/>
    <n v="1.41"/>
    <n v="1"/>
    <n v="0"/>
    <x v="1"/>
  </r>
  <r>
    <s v="India"/>
    <n v="2014"/>
    <x v="7"/>
    <x v="0"/>
    <x v="0"/>
    <n v="6.59"/>
    <n v="43.58"/>
    <n v="167.43"/>
    <n v="146.22"/>
    <n v="3.36"/>
    <n v="9.5299999999999994"/>
    <n v="2.33"/>
    <n v="1"/>
    <n v="0"/>
    <x v="1"/>
  </r>
  <r>
    <s v="India"/>
    <n v="2014"/>
    <x v="7"/>
    <x v="0"/>
    <x v="0"/>
    <n v="7.86"/>
    <n v="53.82"/>
    <n v="146.05000000000001"/>
    <n v="251.89"/>
    <n v="4.68"/>
    <n v="10"/>
    <n v="2.4500000000000002"/>
    <n v="1"/>
    <n v="0"/>
    <x v="1"/>
  </r>
  <r>
    <s v="India"/>
    <n v="2014"/>
    <x v="80"/>
    <x v="0"/>
    <x v="0"/>
    <n v="7.3"/>
    <n v="31.75"/>
    <n v="148.94999999999999"/>
    <n v="107.48"/>
    <n v="3.38"/>
    <n v="11.77"/>
    <n v="2.88"/>
    <n v="1"/>
    <n v="1"/>
    <x v="0"/>
  </r>
  <r>
    <s v="India"/>
    <n v="2014"/>
    <x v="33"/>
    <x v="1"/>
    <x v="3"/>
    <n v="7.3"/>
    <n v="70.97"/>
    <n v="150.24"/>
    <n v="172.79"/>
    <n v="2.4300000000000002"/>
    <n v="10.31"/>
    <n v="2.52"/>
    <n v="1"/>
    <n v="1"/>
    <x v="0"/>
  </r>
  <r>
    <s v="India"/>
    <n v="2014"/>
    <x v="39"/>
    <x v="0"/>
    <x v="1"/>
    <n v="7.88"/>
    <n v="40.520000000000003"/>
    <n v="144.97"/>
    <n v="178.08"/>
    <n v="4.3899999999999997"/>
    <n v="8.92"/>
    <n v="2.1800000000000002"/>
    <n v="1"/>
    <n v="0"/>
    <x v="0"/>
  </r>
  <r>
    <s v="India"/>
    <n v="2014"/>
    <x v="27"/>
    <x v="1"/>
    <x v="1"/>
    <n v="7.71"/>
    <n v="51.92"/>
    <n v="126.02"/>
    <n v="262.22000000000003"/>
    <n v="5.05"/>
    <n v="7.04"/>
    <n v="1.72"/>
    <n v="1"/>
    <n v="0"/>
    <x v="1"/>
  </r>
  <r>
    <s v="India"/>
    <n v="2014"/>
    <x v="39"/>
    <x v="0"/>
    <x v="1"/>
    <n v="9.16"/>
    <n v="46.25"/>
    <n v="192.69"/>
    <n v="211.99"/>
    <n v="4.58"/>
    <n v="9.6999999999999993"/>
    <n v="2.37"/>
    <n v="1"/>
    <n v="0"/>
    <x v="1"/>
  </r>
  <r>
    <s v="India"/>
    <n v="2014"/>
    <x v="28"/>
    <x v="0"/>
    <x v="0"/>
    <n v="6.75"/>
    <n v="41.67"/>
    <n v="134.58000000000001"/>
    <n v="252.75"/>
    <n v="6.07"/>
    <n v="11.6"/>
    <n v="2.84"/>
    <n v="1"/>
    <n v="1"/>
    <x v="1"/>
  </r>
  <r>
    <s v="India"/>
    <n v="2014"/>
    <x v="59"/>
    <x v="1"/>
    <x v="0"/>
    <n v="7.56"/>
    <n v="34.82"/>
    <n v="163.86"/>
    <n v="184.47"/>
    <n v="5.3"/>
    <n v="7.41"/>
    <n v="1.81"/>
    <n v="1"/>
    <n v="0"/>
    <x v="1"/>
  </r>
  <r>
    <s v="India"/>
    <n v="2014"/>
    <x v="56"/>
    <x v="1"/>
    <x v="1"/>
    <n v="7.37"/>
    <n v="32.869999999999997"/>
    <n v="166.39"/>
    <n v="104.25"/>
    <n v="3.17"/>
    <n v="8.8000000000000007"/>
    <n v="2.15"/>
    <n v="1"/>
    <n v="0"/>
    <x v="1"/>
  </r>
  <r>
    <s v="India"/>
    <n v="2014"/>
    <x v="73"/>
    <x v="0"/>
    <x v="2"/>
    <n v="8.69"/>
    <n v="51.83"/>
    <n v="144.63"/>
    <n v="212.92"/>
    <n v="4.1100000000000003"/>
    <n v="3.15"/>
    <n v="0.77"/>
    <n v="1"/>
    <n v="0"/>
    <x v="1"/>
  </r>
  <r>
    <s v="India"/>
    <n v="2014"/>
    <x v="67"/>
    <x v="0"/>
    <x v="2"/>
    <n v="6.87"/>
    <n v="60.19"/>
    <n v="101.91"/>
    <n v="183.56"/>
    <n v="3.05"/>
    <n v="10.6"/>
    <n v="2.59"/>
    <n v="1"/>
    <n v="1"/>
    <x v="2"/>
  </r>
  <r>
    <s v="India"/>
    <n v="2014"/>
    <x v="84"/>
    <x v="1"/>
    <x v="0"/>
    <n v="7.44"/>
    <n v="38.1"/>
    <n v="158.01"/>
    <n v="137.51"/>
    <n v="3.61"/>
    <n v="12.91"/>
    <n v="3.16"/>
    <n v="1"/>
    <n v="1"/>
    <x v="0"/>
  </r>
  <r>
    <s v="India"/>
    <n v="2014"/>
    <x v="49"/>
    <x v="0"/>
    <x v="0"/>
    <n v="9.61"/>
    <n v="41.42"/>
    <n v="169.2"/>
    <n v="178.7"/>
    <n v="4.3099999999999996"/>
    <n v="12.83"/>
    <n v="3.14"/>
    <n v="1"/>
    <n v="1"/>
    <x v="1"/>
  </r>
  <r>
    <s v="India"/>
    <n v="2015"/>
    <x v="4"/>
    <x v="1"/>
    <x v="1"/>
    <n v="8.61"/>
    <n v="52.35"/>
    <n v="129.25"/>
    <n v="182.31"/>
    <n v="3.48"/>
    <n v="6.59"/>
    <n v="1.61"/>
    <n v="1"/>
    <n v="0"/>
    <x v="2"/>
  </r>
  <r>
    <s v="India"/>
    <n v="2015"/>
    <x v="19"/>
    <x v="0"/>
    <x v="1"/>
    <n v="7.86"/>
    <n v="49.31"/>
    <n v="136.61000000000001"/>
    <n v="158.69"/>
    <n v="3.22"/>
    <n v="8.99"/>
    <n v="2.2000000000000002"/>
    <n v="1"/>
    <n v="0"/>
    <x v="0"/>
  </r>
  <r>
    <s v="India"/>
    <n v="2015"/>
    <x v="20"/>
    <x v="1"/>
    <x v="1"/>
    <n v="7.96"/>
    <n v="38.82"/>
    <n v="162.6"/>
    <n v="138.1"/>
    <n v="3.56"/>
    <n v="15.86"/>
    <n v="3.88"/>
    <n v="1"/>
    <n v="1"/>
    <x v="1"/>
  </r>
  <r>
    <s v="India"/>
    <n v="2015"/>
    <x v="28"/>
    <x v="1"/>
    <x v="0"/>
    <n v="8.44"/>
    <n v="50.86"/>
    <n v="167.79"/>
    <n v="152.18"/>
    <n v="2.99"/>
    <n v="7.79"/>
    <n v="1.9"/>
    <n v="1"/>
    <n v="0"/>
    <x v="1"/>
  </r>
  <r>
    <s v="India"/>
    <n v="2015"/>
    <x v="79"/>
    <x v="1"/>
    <x v="3"/>
    <n v="9.51"/>
    <n v="50.39"/>
    <n v="162.51"/>
    <n v="252.87"/>
    <n v="5.0199999999999996"/>
    <n v="6.5"/>
    <n v="1.59"/>
    <n v="1"/>
    <n v="0"/>
    <x v="1"/>
  </r>
  <r>
    <s v="India"/>
    <n v="2015"/>
    <x v="84"/>
    <x v="0"/>
    <x v="0"/>
    <n v="7.56"/>
    <n v="44.42"/>
    <n v="198.47"/>
    <n v="180.46"/>
    <n v="4.0599999999999996"/>
    <n v="8.57"/>
    <n v="2.1"/>
    <n v="1"/>
    <n v="0"/>
    <x v="1"/>
  </r>
  <r>
    <s v="India"/>
    <n v="2015"/>
    <x v="71"/>
    <x v="0"/>
    <x v="2"/>
    <n v="7.92"/>
    <n v="49.97"/>
    <n v="115.29"/>
    <n v="153.88999999999999"/>
    <n v="3.08"/>
    <n v="2.5499999999999998"/>
    <n v="0.62"/>
    <n v="1"/>
    <n v="0"/>
    <x v="2"/>
  </r>
  <r>
    <s v="India"/>
    <n v="2015"/>
    <x v="76"/>
    <x v="1"/>
    <x v="0"/>
    <n v="9.0500000000000007"/>
    <n v="41.8"/>
    <n v="167.51"/>
    <n v="156.34"/>
    <n v="3.74"/>
    <n v="14.39"/>
    <n v="3.52"/>
    <n v="1"/>
    <n v="1"/>
    <x v="1"/>
  </r>
  <r>
    <s v="India"/>
    <n v="2015"/>
    <x v="3"/>
    <x v="1"/>
    <x v="0"/>
    <n v="7.42"/>
    <n v="34.65"/>
    <n v="123.76"/>
    <n v="217.58"/>
    <n v="6.28"/>
    <n v="9.4"/>
    <n v="2.2999999999999998"/>
    <n v="1"/>
    <n v="0"/>
    <x v="1"/>
  </r>
  <r>
    <s v="India"/>
    <n v="2015"/>
    <x v="71"/>
    <x v="1"/>
    <x v="2"/>
    <n v="6.14"/>
    <n v="27.73"/>
    <n v="139.68"/>
    <n v="299.81"/>
    <n v="10.81"/>
    <n v="9.08"/>
    <n v="2.2200000000000002"/>
    <n v="0"/>
    <n v="0"/>
    <x v="1"/>
  </r>
  <r>
    <s v="India"/>
    <n v="2015"/>
    <x v="65"/>
    <x v="0"/>
    <x v="3"/>
    <n v="6.94"/>
    <n v="41.34"/>
    <n v="110.12"/>
    <n v="140.71"/>
    <n v="3.4"/>
    <n v="3.91"/>
    <n v="0.96"/>
    <n v="1"/>
    <n v="0"/>
    <x v="2"/>
  </r>
  <r>
    <s v="India"/>
    <n v="2015"/>
    <x v="54"/>
    <x v="0"/>
    <x v="2"/>
    <n v="7.42"/>
    <n v="41"/>
    <n v="175.9"/>
    <n v="190.95"/>
    <n v="4.66"/>
    <n v="7.53"/>
    <n v="1.84"/>
    <n v="1"/>
    <n v="0"/>
    <x v="1"/>
  </r>
  <r>
    <s v="India"/>
    <n v="2015"/>
    <x v="13"/>
    <x v="1"/>
    <x v="1"/>
    <n v="9.44"/>
    <n v="38.75"/>
    <n v="181.51"/>
    <n v="251.16"/>
    <n v="6.48"/>
    <n v="14.43"/>
    <n v="3.53"/>
    <n v="1"/>
    <n v="1"/>
    <x v="1"/>
  </r>
  <r>
    <s v="India"/>
    <n v="2015"/>
    <x v="80"/>
    <x v="0"/>
    <x v="0"/>
    <n v="6.67"/>
    <n v="44.98"/>
    <n v="159.59"/>
    <n v="140.62"/>
    <n v="3.13"/>
    <n v="8.92"/>
    <n v="2.1800000000000002"/>
    <n v="1"/>
    <n v="0"/>
    <x v="0"/>
  </r>
  <r>
    <s v="India"/>
    <n v="2015"/>
    <x v="8"/>
    <x v="1"/>
    <x v="1"/>
    <n v="8.68"/>
    <n v="62.67"/>
    <n v="126.08"/>
    <n v="209.01"/>
    <n v="3.33"/>
    <n v="8.6300000000000008"/>
    <n v="2.11"/>
    <n v="1"/>
    <n v="0"/>
    <x v="1"/>
  </r>
  <r>
    <s v="India"/>
    <n v="2015"/>
    <x v="20"/>
    <x v="0"/>
    <x v="1"/>
    <n v="8.6999999999999993"/>
    <n v="35.39"/>
    <n v="146.63999999999999"/>
    <n v="153.29"/>
    <n v="4.33"/>
    <n v="15.07"/>
    <n v="3.68"/>
    <n v="1"/>
    <n v="1"/>
    <x v="0"/>
  </r>
  <r>
    <s v="India"/>
    <n v="2015"/>
    <x v="83"/>
    <x v="0"/>
    <x v="1"/>
    <n v="7.85"/>
    <n v="45.69"/>
    <n v="187.38"/>
    <n v="206.1"/>
    <n v="4.51"/>
    <n v="7.3"/>
    <n v="1.78"/>
    <n v="1"/>
    <n v="0"/>
    <x v="1"/>
  </r>
  <r>
    <s v="India"/>
    <n v="2015"/>
    <x v="5"/>
    <x v="0"/>
    <x v="2"/>
    <n v="5.85"/>
    <n v="54.5"/>
    <n v="113.68"/>
    <n v="185.21"/>
    <n v="3.4"/>
    <n v="3.04"/>
    <n v="0.74"/>
    <n v="0"/>
    <n v="0"/>
    <x v="2"/>
  </r>
  <r>
    <s v="India"/>
    <n v="2015"/>
    <x v="34"/>
    <x v="1"/>
    <x v="1"/>
    <n v="8.84"/>
    <n v="44.78"/>
    <n v="164.38"/>
    <n v="232.85"/>
    <n v="5.2"/>
    <n v="9.09"/>
    <n v="2.2200000000000002"/>
    <n v="1"/>
    <n v="0"/>
    <x v="1"/>
  </r>
  <r>
    <s v="India"/>
    <n v="2015"/>
    <x v="71"/>
    <x v="1"/>
    <x v="2"/>
    <n v="3.93"/>
    <n v="60.06"/>
    <n v="133.93"/>
    <n v="170.02"/>
    <n v="2.83"/>
    <n v="8.6300000000000008"/>
    <n v="2.11"/>
    <n v="0"/>
    <n v="0"/>
    <x v="0"/>
  </r>
  <r>
    <s v="India"/>
    <n v="2015"/>
    <x v="21"/>
    <x v="0"/>
    <x v="3"/>
    <n v="7.14"/>
    <n v="60.87"/>
    <n v="148.43"/>
    <n v="169.46"/>
    <n v="2.78"/>
    <n v="5.7"/>
    <n v="1.39"/>
    <n v="1"/>
    <n v="0"/>
    <x v="0"/>
  </r>
  <r>
    <s v="India"/>
    <n v="2015"/>
    <x v="47"/>
    <x v="0"/>
    <x v="0"/>
    <n v="6.89"/>
    <n v="41.81"/>
    <n v="151.04"/>
    <n v="284.83"/>
    <n v="6.81"/>
    <n v="3.94"/>
    <n v="0.96"/>
    <n v="1"/>
    <n v="0"/>
    <x v="1"/>
  </r>
  <r>
    <s v="India"/>
    <n v="2015"/>
    <x v="32"/>
    <x v="1"/>
    <x v="0"/>
    <n v="6.09"/>
    <n v="65.2"/>
    <n v="144.54"/>
    <n v="215.87"/>
    <n v="3.31"/>
    <n v="4.8899999999999997"/>
    <n v="1.2"/>
    <n v="0"/>
    <n v="0"/>
    <x v="1"/>
  </r>
  <r>
    <s v="India"/>
    <n v="2015"/>
    <x v="16"/>
    <x v="1"/>
    <x v="0"/>
    <n v="7.86"/>
    <n v="59.69"/>
    <n v="178.95"/>
    <n v="149.75"/>
    <n v="2.5099999999999998"/>
    <n v="6.63"/>
    <n v="1.62"/>
    <n v="1"/>
    <n v="0"/>
    <x v="1"/>
  </r>
  <r>
    <s v="India"/>
    <n v="2015"/>
    <x v="6"/>
    <x v="0"/>
    <x v="1"/>
    <n v="9.69"/>
    <n v="44.22"/>
    <n v="165.03"/>
    <n v="230.64"/>
    <n v="5.22"/>
    <n v="5.09"/>
    <n v="1.24"/>
    <n v="1"/>
    <n v="0"/>
    <x v="1"/>
  </r>
  <r>
    <s v="India"/>
    <n v="2015"/>
    <x v="53"/>
    <x v="1"/>
    <x v="1"/>
    <n v="9.44"/>
    <n v="38.71"/>
    <n v="211.69"/>
    <n v="167.54"/>
    <n v="4.33"/>
    <n v="3.59"/>
    <n v="0.88"/>
    <n v="1"/>
    <n v="0"/>
    <x v="1"/>
  </r>
  <r>
    <s v="India"/>
    <n v="2015"/>
    <x v="41"/>
    <x v="0"/>
    <x v="1"/>
    <n v="8.6199999999999992"/>
    <n v="43.1"/>
    <n v="191.48"/>
    <n v="230.23"/>
    <n v="5.34"/>
    <n v="3"/>
    <n v="0.73"/>
    <n v="1"/>
    <n v="0"/>
    <x v="1"/>
  </r>
  <r>
    <s v="India"/>
    <n v="2015"/>
    <x v="5"/>
    <x v="0"/>
    <x v="2"/>
    <n v="6.5"/>
    <n v="60.7"/>
    <n v="168.36"/>
    <n v="90.66"/>
    <n v="1.49"/>
    <n v="4.75"/>
    <n v="1.1599999999999999"/>
    <n v="0"/>
    <n v="0"/>
    <x v="1"/>
  </r>
  <r>
    <s v="India"/>
    <n v="2015"/>
    <x v="59"/>
    <x v="0"/>
    <x v="0"/>
    <n v="7.88"/>
    <n v="35.49"/>
    <n v="116.26"/>
    <n v="128.32"/>
    <n v="3.62"/>
    <n v="2.88"/>
    <n v="0.7"/>
    <n v="1"/>
    <n v="0"/>
    <x v="2"/>
  </r>
  <r>
    <s v="India"/>
    <n v="2015"/>
    <x v="26"/>
    <x v="0"/>
    <x v="0"/>
    <n v="6.42"/>
    <n v="21.14"/>
    <n v="120.89"/>
    <n v="180.66"/>
    <n v="8.5500000000000007"/>
    <n v="2.98"/>
    <n v="0.73"/>
    <n v="0"/>
    <n v="0"/>
    <x v="2"/>
  </r>
  <r>
    <s v="India"/>
    <n v="2015"/>
    <x v="74"/>
    <x v="1"/>
    <x v="3"/>
    <n v="5.7"/>
    <n v="38.96"/>
    <n v="139.75"/>
    <n v="171.14"/>
    <n v="4.3899999999999997"/>
    <n v="8.39"/>
    <n v="2.0499999999999998"/>
    <n v="0"/>
    <n v="0"/>
    <x v="0"/>
  </r>
  <r>
    <s v="India"/>
    <n v="2015"/>
    <x v="53"/>
    <x v="1"/>
    <x v="1"/>
    <n v="8.68"/>
    <n v="38.29"/>
    <n v="177.15"/>
    <n v="171.42"/>
    <n v="4.4800000000000004"/>
    <n v="16.54"/>
    <n v="4.04"/>
    <n v="1"/>
    <n v="1"/>
    <x v="1"/>
  </r>
  <r>
    <s v="India"/>
    <n v="2015"/>
    <x v="42"/>
    <x v="0"/>
    <x v="1"/>
    <n v="7.44"/>
    <n v="39.53"/>
    <n v="156.83000000000001"/>
    <n v="89.96"/>
    <n v="2.2799999999999998"/>
    <n v="11.13"/>
    <n v="2.72"/>
    <n v="1"/>
    <n v="1"/>
    <x v="0"/>
  </r>
  <r>
    <s v="India"/>
    <n v="2015"/>
    <x v="42"/>
    <x v="0"/>
    <x v="1"/>
    <n v="8.7100000000000009"/>
    <n v="32.67"/>
    <n v="109.63"/>
    <n v="130.93"/>
    <n v="4.01"/>
    <n v="8.25"/>
    <n v="2.02"/>
    <n v="1"/>
    <n v="0"/>
    <x v="2"/>
  </r>
  <r>
    <s v="India"/>
    <n v="2015"/>
    <x v="45"/>
    <x v="0"/>
    <x v="2"/>
    <n v="5.79"/>
    <n v="70.84"/>
    <n v="134.01"/>
    <n v="241.27"/>
    <n v="3.41"/>
    <n v="7.38"/>
    <n v="1.8"/>
    <n v="0"/>
    <n v="0"/>
    <x v="1"/>
  </r>
  <r>
    <s v="India"/>
    <n v="2015"/>
    <x v="67"/>
    <x v="1"/>
    <x v="2"/>
    <n v="7.75"/>
    <n v="44.75"/>
    <n v="178.95"/>
    <n v="129.88999999999999"/>
    <n v="2.9"/>
    <n v="8.61"/>
    <n v="2.1"/>
    <n v="1"/>
    <n v="0"/>
    <x v="1"/>
  </r>
  <r>
    <s v="India"/>
    <n v="2015"/>
    <x v="14"/>
    <x v="0"/>
    <x v="0"/>
    <n v="6.33"/>
    <n v="53.42"/>
    <n v="153.19"/>
    <n v="187.03"/>
    <n v="3.5"/>
    <n v="13.74"/>
    <n v="3.36"/>
    <n v="0"/>
    <n v="1"/>
    <x v="0"/>
  </r>
  <r>
    <s v="India"/>
    <n v="2015"/>
    <x v="78"/>
    <x v="0"/>
    <x v="0"/>
    <n v="7.18"/>
    <n v="54.15"/>
    <n v="115.32"/>
    <n v="187.57"/>
    <n v="3.46"/>
    <n v="6.26"/>
    <n v="1.53"/>
    <n v="1"/>
    <n v="0"/>
    <x v="2"/>
  </r>
  <r>
    <s v="India"/>
    <n v="2015"/>
    <x v="21"/>
    <x v="1"/>
    <x v="3"/>
    <n v="6.59"/>
    <n v="56.91"/>
    <n v="154.56"/>
    <n v="167.04"/>
    <n v="2.94"/>
    <n v="9.51"/>
    <n v="2.3199999999999998"/>
    <n v="1"/>
    <n v="0"/>
    <x v="0"/>
  </r>
  <r>
    <s v="India"/>
    <n v="2015"/>
    <x v="24"/>
    <x v="0"/>
    <x v="2"/>
    <n v="7.71"/>
    <n v="66.16"/>
    <n v="153.57"/>
    <n v="100.76"/>
    <n v="1.52"/>
    <n v="8.11"/>
    <n v="1.98"/>
    <n v="1"/>
    <n v="0"/>
    <x v="0"/>
  </r>
  <r>
    <s v="India"/>
    <n v="2015"/>
    <x v="47"/>
    <x v="1"/>
    <x v="0"/>
    <n v="5.56"/>
    <n v="62.57"/>
    <n v="156.83000000000001"/>
    <n v="294.72000000000003"/>
    <n v="4.71"/>
    <n v="12.7"/>
    <n v="3.1"/>
    <n v="0"/>
    <n v="1"/>
    <x v="1"/>
  </r>
  <r>
    <s v="India"/>
    <n v="2015"/>
    <x v="65"/>
    <x v="1"/>
    <x v="3"/>
    <n v="5.73"/>
    <n v="47.4"/>
    <n v="156.5"/>
    <n v="64.650000000000006"/>
    <n v="1.36"/>
    <n v="4.54"/>
    <n v="1.1100000000000001"/>
    <n v="0"/>
    <n v="0"/>
    <x v="0"/>
  </r>
  <r>
    <s v="India"/>
    <n v="2015"/>
    <x v="66"/>
    <x v="1"/>
    <x v="0"/>
    <n v="8.82"/>
    <n v="42.39"/>
    <n v="157.53"/>
    <n v="267.93"/>
    <n v="6.32"/>
    <n v="10.95"/>
    <n v="2.68"/>
    <n v="1"/>
    <n v="1"/>
    <x v="1"/>
  </r>
  <r>
    <s v="India"/>
    <n v="2015"/>
    <x v="67"/>
    <x v="1"/>
    <x v="2"/>
    <n v="7.16"/>
    <n v="48.83"/>
    <n v="165.15"/>
    <n v="212.48"/>
    <n v="4.3499999999999996"/>
    <n v="2.9"/>
    <n v="0.71"/>
    <n v="1"/>
    <n v="0"/>
    <x v="1"/>
  </r>
  <r>
    <s v="India"/>
    <n v="2015"/>
    <x v="17"/>
    <x v="0"/>
    <x v="0"/>
    <n v="8.33"/>
    <n v="48.98"/>
    <n v="146.9"/>
    <n v="158.85"/>
    <n v="3.24"/>
    <n v="8.4"/>
    <n v="2.0499999999999998"/>
    <n v="1"/>
    <n v="0"/>
    <x v="0"/>
  </r>
  <r>
    <s v="India"/>
    <n v="2015"/>
    <x v="8"/>
    <x v="1"/>
    <x v="1"/>
    <n v="9.18"/>
    <n v="37.19"/>
    <n v="156.57"/>
    <n v="294.20999999999998"/>
    <n v="7.91"/>
    <n v="9.33"/>
    <n v="2.2799999999999998"/>
    <n v="1"/>
    <n v="0"/>
    <x v="1"/>
  </r>
  <r>
    <s v="India"/>
    <n v="2015"/>
    <x v="63"/>
    <x v="0"/>
    <x v="1"/>
    <n v="7.19"/>
    <n v="46.53"/>
    <n v="192.89"/>
    <n v="236.89"/>
    <n v="5.09"/>
    <n v="12.93"/>
    <n v="3.16"/>
    <n v="1"/>
    <n v="1"/>
    <x v="1"/>
  </r>
  <r>
    <s v="India"/>
    <n v="2015"/>
    <x v="7"/>
    <x v="1"/>
    <x v="0"/>
    <n v="6.13"/>
    <n v="33.950000000000003"/>
    <n v="198.82"/>
    <n v="192.5"/>
    <n v="5.67"/>
    <n v="10.45"/>
    <n v="2.5499999999999998"/>
    <n v="0"/>
    <n v="1"/>
    <x v="1"/>
  </r>
  <r>
    <s v="India"/>
    <n v="2015"/>
    <x v="9"/>
    <x v="1"/>
    <x v="2"/>
    <n v="6.34"/>
    <n v="37.340000000000003"/>
    <n v="141.94"/>
    <n v="172.51"/>
    <n v="4.62"/>
    <n v="2.74"/>
    <n v="0.67"/>
    <n v="0"/>
    <n v="0"/>
    <x v="0"/>
  </r>
  <r>
    <s v="India"/>
    <n v="2015"/>
    <x v="62"/>
    <x v="1"/>
    <x v="0"/>
    <n v="7.76"/>
    <n v="49.29"/>
    <n v="101.39"/>
    <n v="214.08"/>
    <n v="4.34"/>
    <n v="5.03"/>
    <n v="1.23"/>
    <n v="1"/>
    <n v="0"/>
    <x v="1"/>
  </r>
  <r>
    <s v="India"/>
    <n v="2016"/>
    <x v="0"/>
    <x v="0"/>
    <x v="0"/>
    <n v="8.99"/>
    <n v="38.590000000000003"/>
    <n v="188.14"/>
    <n v="256.64999999999998"/>
    <n v="6.65"/>
    <n v="7.3"/>
    <n v="1.79"/>
    <n v="1"/>
    <n v="0"/>
    <x v="1"/>
  </r>
  <r>
    <s v="India"/>
    <n v="2016"/>
    <x v="56"/>
    <x v="0"/>
    <x v="1"/>
    <n v="8.82"/>
    <n v="36.58"/>
    <n v="164.26"/>
    <n v="162.91999999999999"/>
    <n v="4.45"/>
    <n v="4.96"/>
    <n v="1.21"/>
    <n v="1"/>
    <n v="0"/>
    <x v="1"/>
  </r>
  <r>
    <s v="India"/>
    <n v="2016"/>
    <x v="70"/>
    <x v="0"/>
    <x v="1"/>
    <n v="6.61"/>
    <n v="43.15"/>
    <n v="194.25"/>
    <n v="151.31"/>
    <n v="3.51"/>
    <n v="13.61"/>
    <n v="3.33"/>
    <n v="1"/>
    <n v="1"/>
    <x v="1"/>
  </r>
  <r>
    <s v="India"/>
    <n v="2016"/>
    <x v="39"/>
    <x v="0"/>
    <x v="1"/>
    <n v="7.78"/>
    <n v="39.6"/>
    <n v="174.14"/>
    <n v="77.94"/>
    <n v="1.97"/>
    <n v="9.84"/>
    <n v="2.4"/>
    <n v="1"/>
    <n v="0"/>
    <x v="1"/>
  </r>
  <r>
    <s v="India"/>
    <n v="2016"/>
    <x v="56"/>
    <x v="0"/>
    <x v="1"/>
    <n v="9.01"/>
    <n v="33.04"/>
    <n v="177.53"/>
    <n v="220.57"/>
    <n v="6.68"/>
    <n v="7.32"/>
    <n v="1.79"/>
    <n v="1"/>
    <n v="0"/>
    <x v="1"/>
  </r>
  <r>
    <s v="India"/>
    <n v="2016"/>
    <x v="70"/>
    <x v="1"/>
    <x v="1"/>
    <n v="8.73"/>
    <n v="36.369999999999997"/>
    <n v="176.11"/>
    <n v="167.68"/>
    <n v="4.6100000000000003"/>
    <n v="11.53"/>
    <n v="2.82"/>
    <n v="1"/>
    <n v="1"/>
    <x v="1"/>
  </r>
  <r>
    <s v="India"/>
    <n v="2016"/>
    <x v="67"/>
    <x v="0"/>
    <x v="2"/>
    <n v="6.31"/>
    <n v="49.6"/>
    <n v="155.47"/>
    <n v="216.93"/>
    <n v="4.37"/>
    <n v="10.43"/>
    <n v="2.5499999999999998"/>
    <n v="0"/>
    <n v="1"/>
    <x v="1"/>
  </r>
  <r>
    <s v="India"/>
    <n v="2016"/>
    <x v="61"/>
    <x v="1"/>
    <x v="1"/>
    <n v="6.33"/>
    <n v="55.02"/>
    <n v="145.87"/>
    <n v="220.79"/>
    <n v="4.01"/>
    <n v="9.3699999999999992"/>
    <n v="2.29"/>
    <n v="0"/>
    <n v="0"/>
    <x v="1"/>
  </r>
  <r>
    <s v="India"/>
    <n v="2016"/>
    <x v="19"/>
    <x v="0"/>
    <x v="1"/>
    <n v="8.14"/>
    <n v="38.83"/>
    <n v="157.24"/>
    <n v="238.95"/>
    <n v="6.15"/>
    <n v="3.47"/>
    <n v="0.85"/>
    <n v="1"/>
    <n v="0"/>
    <x v="1"/>
  </r>
  <r>
    <s v="India"/>
    <n v="2016"/>
    <x v="12"/>
    <x v="1"/>
    <x v="0"/>
    <n v="8.48"/>
    <n v="54.3"/>
    <n v="163.49"/>
    <n v="278.18"/>
    <n v="5.12"/>
    <n v="4.2300000000000004"/>
    <n v="1.03"/>
    <n v="1"/>
    <n v="0"/>
    <x v="1"/>
  </r>
  <r>
    <s v="India"/>
    <n v="2016"/>
    <x v="1"/>
    <x v="1"/>
    <x v="1"/>
    <n v="8.31"/>
    <n v="57.54"/>
    <n v="209.26"/>
    <n v="175.28"/>
    <n v="3.05"/>
    <n v="7.47"/>
    <n v="1.83"/>
    <n v="1"/>
    <n v="0"/>
    <x v="1"/>
  </r>
  <r>
    <s v="India"/>
    <n v="2016"/>
    <x v="50"/>
    <x v="0"/>
    <x v="1"/>
    <n v="7.98"/>
    <n v="36.01"/>
    <n v="189.51"/>
    <n v="202.59"/>
    <n v="5.63"/>
    <n v="8.3800000000000008"/>
    <n v="2.0499999999999998"/>
    <n v="1"/>
    <n v="0"/>
    <x v="1"/>
  </r>
  <r>
    <s v="India"/>
    <n v="2016"/>
    <x v="28"/>
    <x v="0"/>
    <x v="0"/>
    <n v="9.98"/>
    <n v="15.85"/>
    <n v="136.22"/>
    <n v="278.47000000000003"/>
    <n v="17.57"/>
    <n v="13.25"/>
    <n v="3.24"/>
    <n v="1"/>
    <n v="1"/>
    <x v="1"/>
  </r>
  <r>
    <s v="India"/>
    <n v="2016"/>
    <x v="36"/>
    <x v="1"/>
    <x v="0"/>
    <n v="8.1"/>
    <n v="52.18"/>
    <n v="126.43"/>
    <n v="184.95"/>
    <n v="3.54"/>
    <n v="16.09"/>
    <n v="3.93"/>
    <n v="1"/>
    <n v="1"/>
    <x v="2"/>
  </r>
  <r>
    <s v="India"/>
    <n v="2016"/>
    <x v="16"/>
    <x v="1"/>
    <x v="0"/>
    <n v="6.76"/>
    <n v="50.31"/>
    <n v="102.53"/>
    <n v="231.56"/>
    <n v="4.5999999999999996"/>
    <n v="9.6199999999999992"/>
    <n v="2.35"/>
    <n v="1"/>
    <n v="0"/>
    <x v="1"/>
  </r>
  <r>
    <s v="India"/>
    <n v="2016"/>
    <x v="12"/>
    <x v="1"/>
    <x v="0"/>
    <n v="8.57"/>
    <n v="28.81"/>
    <n v="176.65"/>
    <n v="190.97"/>
    <n v="6.63"/>
    <n v="12.83"/>
    <n v="3.14"/>
    <n v="1"/>
    <n v="1"/>
    <x v="1"/>
  </r>
  <r>
    <s v="India"/>
    <n v="2016"/>
    <x v="61"/>
    <x v="1"/>
    <x v="1"/>
    <n v="8.99"/>
    <n v="42.25"/>
    <n v="128.79"/>
    <n v="210.98"/>
    <n v="4.99"/>
    <n v="8.0299999999999994"/>
    <n v="1.96"/>
    <n v="1"/>
    <n v="0"/>
    <x v="1"/>
  </r>
  <r>
    <s v="India"/>
    <n v="2016"/>
    <x v="61"/>
    <x v="1"/>
    <x v="1"/>
    <n v="8.43"/>
    <n v="46.59"/>
    <n v="141.72"/>
    <n v="277.89"/>
    <n v="5.96"/>
    <n v="9.1"/>
    <n v="2.2200000000000002"/>
    <n v="1"/>
    <n v="0"/>
    <x v="1"/>
  </r>
  <r>
    <s v="India"/>
    <n v="2016"/>
    <x v="83"/>
    <x v="1"/>
    <x v="1"/>
    <n v="8.1999999999999993"/>
    <n v="32"/>
    <n v="161.24"/>
    <n v="152.74"/>
    <n v="4.7699999999999996"/>
    <n v="5.82"/>
    <n v="1.42"/>
    <n v="1"/>
    <n v="0"/>
    <x v="1"/>
  </r>
  <r>
    <s v="India"/>
    <n v="2016"/>
    <x v="53"/>
    <x v="1"/>
    <x v="1"/>
    <n v="6.88"/>
    <n v="45.87"/>
    <n v="152.15"/>
    <n v="181.11"/>
    <n v="3.95"/>
    <n v="8.7200000000000006"/>
    <n v="2.13"/>
    <n v="1"/>
    <n v="0"/>
    <x v="0"/>
  </r>
  <r>
    <s v="India"/>
    <n v="2016"/>
    <x v="53"/>
    <x v="1"/>
    <x v="1"/>
    <n v="8.93"/>
    <n v="60.42"/>
    <n v="218.41"/>
    <n v="188.45"/>
    <n v="3.12"/>
    <n v="13.02"/>
    <n v="3.18"/>
    <n v="1"/>
    <n v="1"/>
    <x v="1"/>
  </r>
  <r>
    <s v="India"/>
    <n v="2016"/>
    <x v="16"/>
    <x v="0"/>
    <x v="0"/>
    <n v="5.98"/>
    <n v="42.85"/>
    <n v="172.78"/>
    <n v="183.27"/>
    <n v="4.28"/>
    <n v="10.36"/>
    <n v="2.5299999999999998"/>
    <n v="0"/>
    <n v="1"/>
    <x v="1"/>
  </r>
  <r>
    <s v="India"/>
    <n v="2016"/>
    <x v="40"/>
    <x v="0"/>
    <x v="1"/>
    <n v="8.27"/>
    <n v="53.1"/>
    <n v="152.74"/>
    <n v="120.68"/>
    <n v="2.27"/>
    <n v="14.36"/>
    <n v="3.51"/>
    <n v="1"/>
    <n v="1"/>
    <x v="0"/>
  </r>
  <r>
    <s v="India"/>
    <n v="2016"/>
    <x v="62"/>
    <x v="0"/>
    <x v="0"/>
    <n v="7.78"/>
    <n v="64.290000000000006"/>
    <n v="150.62"/>
    <n v="158.56"/>
    <n v="2.4700000000000002"/>
    <n v="8.6999999999999993"/>
    <n v="2.13"/>
    <n v="1"/>
    <n v="0"/>
    <x v="0"/>
  </r>
  <r>
    <s v="India"/>
    <n v="2016"/>
    <x v="26"/>
    <x v="0"/>
    <x v="0"/>
    <n v="6.03"/>
    <n v="46.42"/>
    <n v="126.25"/>
    <n v="143.63"/>
    <n v="3.09"/>
    <n v="5.62"/>
    <n v="1.37"/>
    <n v="0"/>
    <n v="0"/>
    <x v="2"/>
  </r>
  <r>
    <s v="India"/>
    <n v="2016"/>
    <x v="56"/>
    <x v="0"/>
    <x v="1"/>
    <n v="9.11"/>
    <n v="52.23"/>
    <n v="171.51"/>
    <n v="55.72"/>
    <n v="1.07"/>
    <n v="7.24"/>
    <n v="1.77"/>
    <n v="1"/>
    <n v="0"/>
    <x v="1"/>
  </r>
  <r>
    <s v="India"/>
    <n v="2016"/>
    <x v="52"/>
    <x v="0"/>
    <x v="1"/>
    <n v="8.3000000000000007"/>
    <n v="52.27"/>
    <n v="146.16999999999999"/>
    <n v="216.15"/>
    <n v="4.1399999999999997"/>
    <n v="7.55"/>
    <n v="1.85"/>
    <n v="1"/>
    <n v="0"/>
    <x v="1"/>
  </r>
  <r>
    <s v="India"/>
    <n v="2016"/>
    <x v="22"/>
    <x v="0"/>
    <x v="0"/>
    <n v="8.31"/>
    <n v="38.659999999999997"/>
    <n v="177.89"/>
    <n v="184.08"/>
    <n v="4.76"/>
    <n v="11.51"/>
    <n v="2.81"/>
    <n v="1"/>
    <n v="1"/>
    <x v="1"/>
  </r>
  <r>
    <s v="India"/>
    <n v="2016"/>
    <x v="64"/>
    <x v="1"/>
    <x v="0"/>
    <n v="7.18"/>
    <n v="40.08"/>
    <n v="125.07"/>
    <n v="146.47999999999999"/>
    <n v="3.65"/>
    <n v="8.2899999999999991"/>
    <n v="2.0299999999999998"/>
    <n v="1"/>
    <n v="0"/>
    <x v="2"/>
  </r>
  <r>
    <s v="India"/>
    <n v="2016"/>
    <x v="59"/>
    <x v="0"/>
    <x v="0"/>
    <n v="6.16"/>
    <n v="57.25"/>
    <n v="163.61000000000001"/>
    <n v="206.95"/>
    <n v="3.61"/>
    <n v="12.51"/>
    <n v="3.06"/>
    <n v="0"/>
    <n v="1"/>
    <x v="1"/>
  </r>
  <r>
    <s v="India"/>
    <n v="2016"/>
    <x v="26"/>
    <x v="0"/>
    <x v="0"/>
    <n v="6.04"/>
    <n v="47.41"/>
    <n v="158.03"/>
    <n v="225.22"/>
    <n v="4.75"/>
    <n v="10.53"/>
    <n v="2.57"/>
    <n v="0"/>
    <n v="1"/>
    <x v="1"/>
  </r>
  <r>
    <s v="India"/>
    <n v="2016"/>
    <x v="44"/>
    <x v="1"/>
    <x v="1"/>
    <n v="9.02"/>
    <n v="39.409999999999997"/>
    <n v="164.87"/>
    <n v="128.88999999999999"/>
    <n v="3.27"/>
    <n v="11.85"/>
    <n v="2.9"/>
    <n v="1"/>
    <n v="1"/>
    <x v="1"/>
  </r>
  <r>
    <s v="India"/>
    <n v="2016"/>
    <x v="29"/>
    <x v="0"/>
    <x v="0"/>
    <n v="5.72"/>
    <n v="48.58"/>
    <n v="169.89"/>
    <n v="162.44"/>
    <n v="3.34"/>
    <n v="6.75"/>
    <n v="1.65"/>
    <n v="0"/>
    <n v="0"/>
    <x v="1"/>
  </r>
  <r>
    <s v="India"/>
    <n v="2016"/>
    <x v="29"/>
    <x v="0"/>
    <x v="0"/>
    <n v="5.21"/>
    <n v="48.05"/>
    <n v="155.69999999999999"/>
    <n v="191.92"/>
    <n v="3.99"/>
    <n v="2.82"/>
    <n v="0.69"/>
    <n v="0"/>
    <n v="0"/>
    <x v="0"/>
  </r>
  <r>
    <s v="India"/>
    <n v="2016"/>
    <x v="61"/>
    <x v="0"/>
    <x v="1"/>
    <n v="7.75"/>
    <n v="35.81"/>
    <n v="147.87"/>
    <n v="173.09"/>
    <n v="4.83"/>
    <n v="5.24"/>
    <n v="1.28"/>
    <n v="1"/>
    <n v="0"/>
    <x v="0"/>
  </r>
  <r>
    <s v="India"/>
    <n v="2016"/>
    <x v="48"/>
    <x v="1"/>
    <x v="0"/>
    <n v="9.15"/>
    <n v="51.68"/>
    <n v="186.05"/>
    <n v="231"/>
    <n v="4.47"/>
    <n v="2.73"/>
    <n v="0.67"/>
    <n v="1"/>
    <n v="0"/>
    <x v="1"/>
  </r>
  <r>
    <s v="India"/>
    <n v="2016"/>
    <x v="14"/>
    <x v="1"/>
    <x v="0"/>
    <n v="6.45"/>
    <n v="47.14"/>
    <n v="201.17"/>
    <n v="154.5"/>
    <n v="3.28"/>
    <n v="7.37"/>
    <n v="1.8"/>
    <n v="0"/>
    <n v="0"/>
    <x v="1"/>
  </r>
  <r>
    <s v="India"/>
    <n v="2016"/>
    <x v="50"/>
    <x v="0"/>
    <x v="1"/>
    <n v="8.15"/>
    <n v="53.47"/>
    <n v="118.91"/>
    <n v="246.37"/>
    <n v="4.6100000000000003"/>
    <n v="11.6"/>
    <n v="2.84"/>
    <n v="1"/>
    <n v="1"/>
    <x v="1"/>
  </r>
  <r>
    <s v="India"/>
    <n v="2016"/>
    <x v="39"/>
    <x v="0"/>
    <x v="1"/>
    <n v="9.3800000000000008"/>
    <n v="38.81"/>
    <n v="176.54"/>
    <n v="183.87"/>
    <n v="4.74"/>
    <n v="11.41"/>
    <n v="2.79"/>
    <n v="1"/>
    <n v="1"/>
    <x v="1"/>
  </r>
  <r>
    <s v="India"/>
    <n v="2016"/>
    <x v="48"/>
    <x v="0"/>
    <x v="0"/>
    <n v="8.01"/>
    <n v="58.02"/>
    <n v="121.52"/>
    <n v="131.38999999999999"/>
    <n v="2.2599999999999998"/>
    <n v="12.26"/>
    <n v="3"/>
    <n v="1"/>
    <n v="1"/>
    <x v="2"/>
  </r>
  <r>
    <s v="India"/>
    <n v="2016"/>
    <x v="17"/>
    <x v="0"/>
    <x v="0"/>
    <n v="6.99"/>
    <n v="24.98"/>
    <n v="114.92"/>
    <n v="203.03"/>
    <n v="8.1300000000000008"/>
    <n v="9.3699999999999992"/>
    <n v="2.29"/>
    <n v="1"/>
    <n v="0"/>
    <x v="1"/>
  </r>
  <r>
    <s v="India"/>
    <n v="2016"/>
    <x v="0"/>
    <x v="0"/>
    <x v="0"/>
    <n v="7.28"/>
    <n v="48.32"/>
    <n v="148.03"/>
    <n v="165.88"/>
    <n v="3.43"/>
    <n v="7.09"/>
    <n v="1.73"/>
    <n v="1"/>
    <n v="0"/>
    <x v="0"/>
  </r>
  <r>
    <s v="India"/>
    <n v="2016"/>
    <x v="22"/>
    <x v="0"/>
    <x v="0"/>
    <n v="6.8"/>
    <n v="57.61"/>
    <n v="156.24"/>
    <n v="158.13"/>
    <n v="2.74"/>
    <n v="8.77"/>
    <n v="2.14"/>
    <n v="1"/>
    <n v="0"/>
    <x v="0"/>
  </r>
  <r>
    <s v="India"/>
    <n v="2016"/>
    <x v="39"/>
    <x v="0"/>
    <x v="1"/>
    <n v="9.06"/>
    <n v="51.75"/>
    <n v="160.05000000000001"/>
    <n v="290.95"/>
    <n v="5.62"/>
    <n v="12.19"/>
    <n v="2.98"/>
    <n v="1"/>
    <n v="1"/>
    <x v="1"/>
  </r>
  <r>
    <s v="India"/>
    <n v="2016"/>
    <x v="81"/>
    <x v="0"/>
    <x v="0"/>
    <n v="7.15"/>
    <n v="43.79"/>
    <n v="184.94"/>
    <n v="188.34"/>
    <n v="4.3"/>
    <n v="11.8"/>
    <n v="2.88"/>
    <n v="1"/>
    <n v="1"/>
    <x v="1"/>
  </r>
  <r>
    <s v="India"/>
    <n v="2016"/>
    <x v="81"/>
    <x v="1"/>
    <x v="0"/>
    <n v="8.5"/>
    <n v="49.05"/>
    <n v="93.37"/>
    <n v="180.55"/>
    <n v="3.68"/>
    <n v="12.55"/>
    <n v="3.07"/>
    <n v="1"/>
    <n v="1"/>
    <x v="2"/>
  </r>
  <r>
    <s v="India"/>
    <n v="2016"/>
    <x v="72"/>
    <x v="0"/>
    <x v="1"/>
    <n v="6.82"/>
    <n v="66.400000000000006"/>
    <n v="141.5"/>
    <n v="206.58"/>
    <n v="3.11"/>
    <n v="17.89"/>
    <n v="4.37"/>
    <n v="1"/>
    <n v="1"/>
    <x v="1"/>
  </r>
  <r>
    <s v="India"/>
    <n v="2016"/>
    <x v="59"/>
    <x v="0"/>
    <x v="0"/>
    <n v="7.13"/>
    <n v="52.95"/>
    <n v="124.66"/>
    <n v="186.26"/>
    <n v="3.52"/>
    <n v="13.65"/>
    <n v="3.34"/>
    <n v="1"/>
    <n v="1"/>
    <x v="2"/>
  </r>
  <r>
    <s v="India"/>
    <n v="2016"/>
    <x v="29"/>
    <x v="1"/>
    <x v="0"/>
    <n v="7.08"/>
    <n v="30.83"/>
    <n v="153.43"/>
    <n v="174.86"/>
    <n v="5.67"/>
    <n v="-1.37"/>
    <n v="-0.34"/>
    <n v="1"/>
    <n v="0"/>
    <x v="0"/>
  </r>
  <r>
    <s v="India"/>
    <n v="2016"/>
    <x v="84"/>
    <x v="1"/>
    <x v="0"/>
    <n v="7.1"/>
    <n v="34.840000000000003"/>
    <n v="132.80000000000001"/>
    <n v="227.18"/>
    <n v="6.52"/>
    <n v="11.19"/>
    <n v="2.74"/>
    <n v="1"/>
    <n v="1"/>
    <x v="1"/>
  </r>
  <r>
    <s v="India"/>
    <n v="2017"/>
    <x v="41"/>
    <x v="0"/>
    <x v="1"/>
    <n v="6.54"/>
    <n v="44.57"/>
    <n v="182.89"/>
    <n v="164.69"/>
    <n v="3.7"/>
    <n v="7.74"/>
    <n v="1.89"/>
    <n v="1"/>
    <n v="0"/>
    <x v="1"/>
  </r>
  <r>
    <s v="India"/>
    <n v="2017"/>
    <x v="15"/>
    <x v="0"/>
    <x v="0"/>
    <n v="7.3"/>
    <n v="48.03"/>
    <n v="190.37"/>
    <n v="142.13"/>
    <n v="2.96"/>
    <n v="9.39"/>
    <n v="2.2999999999999998"/>
    <n v="1"/>
    <n v="0"/>
    <x v="1"/>
  </r>
  <r>
    <s v="India"/>
    <n v="2017"/>
    <x v="35"/>
    <x v="1"/>
    <x v="0"/>
    <n v="5.98"/>
    <n v="60.61"/>
    <n v="133.72999999999999"/>
    <n v="165.25"/>
    <n v="2.73"/>
    <n v="7.78"/>
    <n v="1.9"/>
    <n v="0"/>
    <n v="0"/>
    <x v="0"/>
  </r>
  <r>
    <s v="India"/>
    <n v="2017"/>
    <x v="54"/>
    <x v="1"/>
    <x v="2"/>
    <n v="6.96"/>
    <n v="32.880000000000003"/>
    <n v="159.58000000000001"/>
    <n v="171.88"/>
    <n v="5.23"/>
    <n v="6.17"/>
    <n v="1.51"/>
    <n v="1"/>
    <n v="0"/>
    <x v="0"/>
  </r>
  <r>
    <s v="India"/>
    <n v="2017"/>
    <x v="66"/>
    <x v="1"/>
    <x v="0"/>
    <n v="7.15"/>
    <n v="44.47"/>
    <n v="190"/>
    <n v="247.76"/>
    <n v="5.57"/>
    <n v="3.88"/>
    <n v="0.95"/>
    <n v="1"/>
    <n v="0"/>
    <x v="1"/>
  </r>
  <r>
    <s v="India"/>
    <n v="2017"/>
    <x v="12"/>
    <x v="1"/>
    <x v="0"/>
    <n v="7.72"/>
    <n v="48.73"/>
    <n v="176.84"/>
    <n v="188.81"/>
    <n v="3.87"/>
    <n v="-0.67"/>
    <n v="-0.16"/>
    <n v="1"/>
    <n v="0"/>
    <x v="1"/>
  </r>
  <r>
    <s v="India"/>
    <n v="2017"/>
    <x v="35"/>
    <x v="1"/>
    <x v="0"/>
    <n v="7.45"/>
    <n v="47.18"/>
    <n v="165.14"/>
    <n v="92.47"/>
    <n v="1.96"/>
    <n v="10.32"/>
    <n v="2.52"/>
    <n v="1"/>
    <n v="1"/>
    <x v="1"/>
  </r>
  <r>
    <s v="India"/>
    <n v="2017"/>
    <x v="1"/>
    <x v="0"/>
    <x v="1"/>
    <n v="8"/>
    <n v="66.739999999999995"/>
    <n v="156.77000000000001"/>
    <n v="128.33000000000001"/>
    <n v="1.92"/>
    <n v="13.79"/>
    <n v="3.37"/>
    <n v="1"/>
    <n v="1"/>
    <x v="0"/>
  </r>
  <r>
    <s v="India"/>
    <n v="2017"/>
    <x v="34"/>
    <x v="0"/>
    <x v="1"/>
    <n v="8.56"/>
    <n v="29.76"/>
    <n v="142.1"/>
    <n v="285.02999999999997"/>
    <n v="9.58"/>
    <n v="11.11"/>
    <n v="2.71"/>
    <n v="1"/>
    <n v="1"/>
    <x v="1"/>
  </r>
  <r>
    <s v="India"/>
    <n v="2017"/>
    <x v="79"/>
    <x v="1"/>
    <x v="3"/>
    <n v="5.65"/>
    <n v="46.91"/>
    <n v="117.08"/>
    <n v="176.25"/>
    <n v="3.76"/>
    <n v="7"/>
    <n v="1.71"/>
    <n v="0"/>
    <n v="0"/>
    <x v="2"/>
  </r>
  <r>
    <s v="India"/>
    <n v="2017"/>
    <x v="41"/>
    <x v="0"/>
    <x v="1"/>
    <n v="10.45"/>
    <n v="28.64"/>
    <n v="148.04"/>
    <n v="162.31"/>
    <n v="5.67"/>
    <n v="10.61"/>
    <n v="2.59"/>
    <n v="1"/>
    <n v="1"/>
    <x v="0"/>
  </r>
  <r>
    <s v="India"/>
    <n v="2017"/>
    <x v="7"/>
    <x v="1"/>
    <x v="0"/>
    <n v="6.45"/>
    <n v="42.52"/>
    <n v="130.33000000000001"/>
    <n v="186.28"/>
    <n v="4.38"/>
    <n v="5.89"/>
    <n v="1.44"/>
    <n v="0"/>
    <n v="0"/>
    <x v="0"/>
  </r>
  <r>
    <s v="India"/>
    <n v="2017"/>
    <x v="42"/>
    <x v="1"/>
    <x v="1"/>
    <n v="6.63"/>
    <n v="36.32"/>
    <n v="143.84"/>
    <n v="189.35"/>
    <n v="5.21"/>
    <n v="10.91"/>
    <n v="2.67"/>
    <n v="1"/>
    <n v="1"/>
    <x v="0"/>
  </r>
  <r>
    <s v="India"/>
    <n v="2017"/>
    <x v="69"/>
    <x v="1"/>
    <x v="0"/>
    <n v="6.8"/>
    <n v="65.56"/>
    <n v="125.56"/>
    <n v="175.79"/>
    <n v="2.68"/>
    <n v="6.96"/>
    <n v="1.7"/>
    <n v="1"/>
    <n v="0"/>
    <x v="2"/>
  </r>
  <r>
    <s v="India"/>
    <n v="2017"/>
    <x v="38"/>
    <x v="1"/>
    <x v="2"/>
    <n v="6.81"/>
    <n v="46.42"/>
    <n v="142.86000000000001"/>
    <n v="210.3"/>
    <n v="4.53"/>
    <n v="8.6199999999999992"/>
    <n v="2.11"/>
    <n v="1"/>
    <n v="0"/>
    <x v="1"/>
  </r>
  <r>
    <s v="India"/>
    <n v="2017"/>
    <x v="34"/>
    <x v="1"/>
    <x v="1"/>
    <n v="7.71"/>
    <n v="44.75"/>
    <n v="148.9"/>
    <n v="232.08"/>
    <n v="5.19"/>
    <n v="8.7200000000000006"/>
    <n v="2.13"/>
    <n v="1"/>
    <n v="0"/>
    <x v="1"/>
  </r>
  <r>
    <s v="India"/>
    <n v="2017"/>
    <x v="74"/>
    <x v="1"/>
    <x v="3"/>
    <n v="8.6199999999999992"/>
    <n v="36.67"/>
    <n v="140.5"/>
    <n v="213.39"/>
    <n v="5.82"/>
    <n v="4.1100000000000003"/>
    <n v="1"/>
    <n v="1"/>
    <n v="0"/>
    <x v="1"/>
  </r>
  <r>
    <s v="India"/>
    <n v="2017"/>
    <x v="72"/>
    <x v="0"/>
    <x v="1"/>
    <n v="8.33"/>
    <n v="39.909999999999997"/>
    <n v="201.38"/>
    <n v="168.55"/>
    <n v="4.22"/>
    <n v="8.06"/>
    <n v="1.97"/>
    <n v="1"/>
    <n v="0"/>
    <x v="1"/>
  </r>
  <r>
    <s v="India"/>
    <n v="2017"/>
    <x v="50"/>
    <x v="1"/>
    <x v="1"/>
    <n v="7.81"/>
    <n v="60.07"/>
    <n v="109.75"/>
    <n v="169.35"/>
    <n v="2.82"/>
    <n v="5.68"/>
    <n v="1.39"/>
    <n v="1"/>
    <n v="0"/>
    <x v="2"/>
  </r>
  <r>
    <s v="India"/>
    <n v="2017"/>
    <x v="57"/>
    <x v="1"/>
    <x v="0"/>
    <n v="5.8"/>
    <n v="51.69"/>
    <n v="145.80000000000001"/>
    <n v="152.53"/>
    <n v="2.95"/>
    <n v="7.73"/>
    <n v="1.89"/>
    <n v="0"/>
    <n v="0"/>
    <x v="0"/>
  </r>
  <r>
    <s v="India"/>
    <n v="2017"/>
    <x v="56"/>
    <x v="1"/>
    <x v="1"/>
    <n v="8.7899999999999991"/>
    <n v="51.28"/>
    <n v="93.67"/>
    <n v="121.39"/>
    <n v="2.37"/>
    <n v="4.7300000000000004"/>
    <n v="1.1599999999999999"/>
    <n v="1"/>
    <n v="0"/>
    <x v="2"/>
  </r>
  <r>
    <s v="India"/>
    <n v="2017"/>
    <x v="41"/>
    <x v="0"/>
    <x v="1"/>
    <n v="8.67"/>
    <n v="38.83"/>
    <n v="154.91999999999999"/>
    <n v="210.33"/>
    <n v="5.42"/>
    <n v="12.63"/>
    <n v="3.09"/>
    <n v="1"/>
    <n v="1"/>
    <x v="1"/>
  </r>
  <r>
    <s v="India"/>
    <n v="2017"/>
    <x v="60"/>
    <x v="1"/>
    <x v="0"/>
    <n v="8.49"/>
    <n v="42.23"/>
    <n v="151.12"/>
    <n v="96.43"/>
    <n v="2.2799999999999998"/>
    <n v="10.69"/>
    <n v="2.61"/>
    <n v="1"/>
    <n v="1"/>
    <x v="0"/>
  </r>
  <r>
    <s v="India"/>
    <n v="2017"/>
    <x v="76"/>
    <x v="0"/>
    <x v="0"/>
    <n v="6.88"/>
    <n v="51.45"/>
    <n v="140.44999999999999"/>
    <n v="190.47"/>
    <n v="3.7"/>
    <n v="5.95"/>
    <n v="1.45"/>
    <n v="1"/>
    <n v="0"/>
    <x v="0"/>
  </r>
  <r>
    <s v="India"/>
    <n v="2017"/>
    <x v="51"/>
    <x v="1"/>
    <x v="2"/>
    <n v="8.65"/>
    <n v="49.51"/>
    <n v="131.09"/>
    <n v="125.54"/>
    <n v="2.54"/>
    <n v="10.28"/>
    <n v="2.5099999999999998"/>
    <n v="1"/>
    <n v="1"/>
    <x v="0"/>
  </r>
  <r>
    <s v="India"/>
    <n v="2017"/>
    <x v="10"/>
    <x v="0"/>
    <x v="0"/>
    <n v="7.65"/>
    <n v="28.88"/>
    <n v="173.08"/>
    <n v="236.52"/>
    <n v="8.19"/>
    <n v="9.61"/>
    <n v="2.35"/>
    <n v="1"/>
    <n v="0"/>
    <x v="1"/>
  </r>
  <r>
    <s v="India"/>
    <n v="2017"/>
    <x v="45"/>
    <x v="1"/>
    <x v="2"/>
    <n v="8.9700000000000006"/>
    <n v="60.86"/>
    <n v="136.99"/>
    <n v="146.53"/>
    <n v="2.41"/>
    <n v="5.12"/>
    <n v="1.25"/>
    <n v="1"/>
    <n v="0"/>
    <x v="0"/>
  </r>
  <r>
    <s v="India"/>
    <n v="2017"/>
    <x v="21"/>
    <x v="0"/>
    <x v="3"/>
    <n v="7.48"/>
    <n v="43.27"/>
    <n v="180.59"/>
    <n v="123.23"/>
    <n v="2.85"/>
    <n v="5"/>
    <n v="1.22"/>
    <n v="1"/>
    <n v="0"/>
    <x v="1"/>
  </r>
  <r>
    <s v="India"/>
    <n v="2017"/>
    <x v="45"/>
    <x v="1"/>
    <x v="2"/>
    <n v="6.36"/>
    <n v="33.380000000000003"/>
    <n v="172.02"/>
    <n v="220.84"/>
    <n v="6.62"/>
    <n v="3.51"/>
    <n v="0.86"/>
    <n v="0"/>
    <n v="0"/>
    <x v="1"/>
  </r>
  <r>
    <s v="India"/>
    <n v="2017"/>
    <x v="16"/>
    <x v="1"/>
    <x v="0"/>
    <n v="8.4499999999999993"/>
    <n v="26.21"/>
    <n v="166.71"/>
    <n v="224.23"/>
    <n v="8.5500000000000007"/>
    <n v="5.05"/>
    <n v="1.23"/>
    <n v="1"/>
    <n v="0"/>
    <x v="1"/>
  </r>
  <r>
    <s v="India"/>
    <n v="2017"/>
    <x v="4"/>
    <x v="0"/>
    <x v="1"/>
    <n v="10.57"/>
    <n v="33.86"/>
    <n v="140.16"/>
    <n v="216.53"/>
    <n v="6.39"/>
    <n v="11.45"/>
    <n v="2.8"/>
    <n v="1"/>
    <n v="1"/>
    <x v="1"/>
  </r>
  <r>
    <s v="India"/>
    <n v="2017"/>
    <x v="13"/>
    <x v="0"/>
    <x v="1"/>
    <n v="6.33"/>
    <n v="28.74"/>
    <n v="128.71"/>
    <n v="254.27"/>
    <n v="8.85"/>
    <n v="10.08"/>
    <n v="2.46"/>
    <n v="0"/>
    <n v="0"/>
    <x v="1"/>
  </r>
  <r>
    <s v="India"/>
    <n v="2017"/>
    <x v="50"/>
    <x v="0"/>
    <x v="1"/>
    <n v="8.67"/>
    <n v="46.38"/>
    <n v="159.91"/>
    <n v="123.95"/>
    <n v="2.67"/>
    <n v="7.75"/>
    <n v="1.89"/>
    <n v="1"/>
    <n v="0"/>
    <x v="0"/>
  </r>
  <r>
    <s v="India"/>
    <n v="2017"/>
    <x v="53"/>
    <x v="0"/>
    <x v="1"/>
    <n v="8.51"/>
    <n v="54.07"/>
    <n v="178.92"/>
    <n v="199.73"/>
    <n v="3.69"/>
    <n v="9.4499999999999993"/>
    <n v="2.31"/>
    <n v="1"/>
    <n v="0"/>
    <x v="1"/>
  </r>
  <r>
    <s v="India"/>
    <n v="2017"/>
    <x v="5"/>
    <x v="1"/>
    <x v="2"/>
    <n v="6.39"/>
    <n v="25.3"/>
    <n v="132.15"/>
    <n v="197.73"/>
    <n v="7.81"/>
    <n v="1"/>
    <n v="0.24"/>
    <n v="0"/>
    <n v="0"/>
    <x v="0"/>
  </r>
  <r>
    <s v="India"/>
    <n v="2017"/>
    <x v="41"/>
    <x v="0"/>
    <x v="1"/>
    <n v="8.9499999999999993"/>
    <n v="36.700000000000003"/>
    <n v="154.41999999999999"/>
    <n v="184.88"/>
    <n v="5.04"/>
    <n v="5.56"/>
    <n v="1.36"/>
    <n v="1"/>
    <n v="0"/>
    <x v="0"/>
  </r>
  <r>
    <s v="India"/>
    <n v="2017"/>
    <x v="59"/>
    <x v="0"/>
    <x v="0"/>
    <n v="6.59"/>
    <n v="51.13"/>
    <n v="118.07"/>
    <n v="100.19"/>
    <n v="1.96"/>
    <n v="8.68"/>
    <n v="2.12"/>
    <n v="1"/>
    <n v="0"/>
    <x v="2"/>
  </r>
  <r>
    <s v="India"/>
    <n v="2017"/>
    <x v="12"/>
    <x v="0"/>
    <x v="0"/>
    <n v="7.17"/>
    <n v="31.46"/>
    <n v="153.1"/>
    <n v="168.08"/>
    <n v="5.34"/>
    <n v="10.64"/>
    <n v="2.6"/>
    <n v="1"/>
    <n v="1"/>
    <x v="0"/>
  </r>
  <r>
    <s v="India"/>
    <n v="2017"/>
    <x v="7"/>
    <x v="0"/>
    <x v="0"/>
    <n v="8.92"/>
    <n v="53.81"/>
    <n v="148.75"/>
    <n v="234.97"/>
    <n v="4.37"/>
    <n v="10.19"/>
    <n v="2.4900000000000002"/>
    <n v="1"/>
    <n v="0"/>
    <x v="1"/>
  </r>
  <r>
    <s v="India"/>
    <n v="2017"/>
    <x v="83"/>
    <x v="1"/>
    <x v="1"/>
    <n v="6.28"/>
    <n v="31.9"/>
    <n v="193.59"/>
    <n v="170.39"/>
    <n v="5.34"/>
    <n v="5.26"/>
    <n v="1.29"/>
    <n v="0"/>
    <n v="0"/>
    <x v="1"/>
  </r>
  <r>
    <s v="India"/>
    <n v="2017"/>
    <x v="38"/>
    <x v="1"/>
    <x v="2"/>
    <n v="7.29"/>
    <n v="48.47"/>
    <n v="167.64"/>
    <n v="138.65"/>
    <n v="2.86"/>
    <n v="12.35"/>
    <n v="3.02"/>
    <n v="1"/>
    <n v="1"/>
    <x v="1"/>
  </r>
  <r>
    <s v="India"/>
    <n v="2017"/>
    <x v="5"/>
    <x v="1"/>
    <x v="2"/>
    <n v="5.68"/>
    <n v="45.33"/>
    <n v="184.4"/>
    <n v="239.15"/>
    <n v="5.28"/>
    <n v="6.06"/>
    <n v="1.48"/>
    <n v="0"/>
    <n v="0"/>
    <x v="1"/>
  </r>
  <r>
    <s v="India"/>
    <n v="2017"/>
    <x v="27"/>
    <x v="0"/>
    <x v="1"/>
    <n v="8.2100000000000009"/>
    <n v="39.51"/>
    <n v="168.91"/>
    <n v="192.15"/>
    <n v="4.8600000000000003"/>
    <n v="13.24"/>
    <n v="3.24"/>
    <n v="1"/>
    <n v="1"/>
    <x v="1"/>
  </r>
  <r>
    <s v="India"/>
    <n v="2017"/>
    <x v="73"/>
    <x v="0"/>
    <x v="2"/>
    <n v="5.15"/>
    <n v="40.29"/>
    <n v="140.85"/>
    <n v="274.06"/>
    <n v="6.8"/>
    <n v="7.45"/>
    <n v="1.82"/>
    <n v="0"/>
    <n v="0"/>
    <x v="1"/>
  </r>
  <r>
    <s v="India"/>
    <n v="2017"/>
    <x v="74"/>
    <x v="0"/>
    <x v="3"/>
    <n v="6.31"/>
    <n v="35.58"/>
    <n v="138.43"/>
    <n v="144.5"/>
    <n v="4.0599999999999996"/>
    <n v="9.1"/>
    <n v="2.2200000000000002"/>
    <n v="0"/>
    <n v="0"/>
    <x v="0"/>
  </r>
  <r>
    <s v="India"/>
    <n v="2017"/>
    <x v="20"/>
    <x v="1"/>
    <x v="1"/>
    <n v="9.1"/>
    <n v="48.04"/>
    <n v="208.79"/>
    <n v="151.4"/>
    <n v="3.15"/>
    <n v="11.16"/>
    <n v="2.73"/>
    <n v="1"/>
    <n v="1"/>
    <x v="1"/>
  </r>
  <r>
    <s v="India"/>
    <n v="2017"/>
    <x v="26"/>
    <x v="0"/>
    <x v="0"/>
    <n v="6.44"/>
    <n v="46.4"/>
    <n v="167.62"/>
    <n v="235.45"/>
    <n v="5.07"/>
    <n v="11.16"/>
    <n v="2.73"/>
    <n v="0"/>
    <n v="1"/>
    <x v="1"/>
  </r>
  <r>
    <s v="India"/>
    <n v="2017"/>
    <x v="38"/>
    <x v="0"/>
    <x v="2"/>
    <n v="5.62"/>
    <n v="49.68"/>
    <n v="175.89"/>
    <n v="188.63"/>
    <n v="3.8"/>
    <n v="5.79"/>
    <n v="1.41"/>
    <n v="0"/>
    <n v="0"/>
    <x v="1"/>
  </r>
  <r>
    <s v="India"/>
    <n v="2017"/>
    <x v="72"/>
    <x v="0"/>
    <x v="1"/>
    <n v="8.2799999999999994"/>
    <n v="55.7"/>
    <n v="154.41999999999999"/>
    <n v="239.56"/>
    <n v="4.3"/>
    <n v="11.25"/>
    <n v="2.75"/>
    <n v="1"/>
    <n v="1"/>
    <x v="1"/>
  </r>
  <r>
    <s v="India"/>
    <n v="2017"/>
    <x v="59"/>
    <x v="0"/>
    <x v="0"/>
    <n v="7.26"/>
    <n v="36.229999999999997"/>
    <n v="106.43"/>
    <n v="230.59"/>
    <n v="6.36"/>
    <n v="12.08"/>
    <n v="2.95"/>
    <n v="1"/>
    <n v="1"/>
    <x v="1"/>
  </r>
  <r>
    <s v="India"/>
    <n v="2018"/>
    <x v="30"/>
    <x v="0"/>
    <x v="0"/>
    <n v="5.49"/>
    <n v="53.3"/>
    <n v="133.46"/>
    <n v="224.19"/>
    <n v="4.21"/>
    <n v="12.39"/>
    <n v="3.03"/>
    <n v="0"/>
    <n v="1"/>
    <x v="1"/>
  </r>
  <r>
    <s v="India"/>
    <n v="2018"/>
    <x v="22"/>
    <x v="0"/>
    <x v="0"/>
    <n v="7.6"/>
    <n v="41.75"/>
    <n v="159.19999999999999"/>
    <n v="247.17"/>
    <n v="5.92"/>
    <n v="10.16"/>
    <n v="2.48"/>
    <n v="1"/>
    <n v="0"/>
    <x v="1"/>
  </r>
  <r>
    <s v="India"/>
    <n v="2018"/>
    <x v="45"/>
    <x v="1"/>
    <x v="2"/>
    <n v="6.83"/>
    <n v="33.04"/>
    <n v="188.05"/>
    <n v="244.39"/>
    <n v="7.4"/>
    <n v="5.76"/>
    <n v="1.41"/>
    <n v="1"/>
    <n v="0"/>
    <x v="1"/>
  </r>
  <r>
    <s v="India"/>
    <n v="2018"/>
    <x v="23"/>
    <x v="0"/>
    <x v="0"/>
    <n v="7.05"/>
    <n v="38.82"/>
    <n v="171.53"/>
    <n v="184.91"/>
    <n v="4.76"/>
    <n v="8.77"/>
    <n v="2.14"/>
    <n v="1"/>
    <n v="0"/>
    <x v="1"/>
  </r>
  <r>
    <s v="India"/>
    <n v="2018"/>
    <x v="9"/>
    <x v="1"/>
    <x v="2"/>
    <n v="5.41"/>
    <n v="57.73"/>
    <n v="161.02000000000001"/>
    <n v="183.83"/>
    <n v="3.18"/>
    <n v="4.0199999999999996"/>
    <n v="0.98"/>
    <n v="0"/>
    <n v="0"/>
    <x v="1"/>
  </r>
  <r>
    <s v="India"/>
    <n v="2018"/>
    <x v="54"/>
    <x v="0"/>
    <x v="2"/>
    <n v="6.79"/>
    <n v="56.89"/>
    <n v="137.35"/>
    <n v="227.3"/>
    <n v="4"/>
    <n v="7.01"/>
    <n v="1.71"/>
    <n v="1"/>
    <n v="0"/>
    <x v="1"/>
  </r>
  <r>
    <s v="India"/>
    <n v="2018"/>
    <x v="9"/>
    <x v="0"/>
    <x v="2"/>
    <n v="8.6300000000000008"/>
    <n v="57.68"/>
    <n v="106.28"/>
    <n v="109.13"/>
    <n v="1.89"/>
    <n v="10.87"/>
    <n v="2.66"/>
    <n v="1"/>
    <n v="1"/>
    <x v="2"/>
  </r>
  <r>
    <s v="India"/>
    <n v="2018"/>
    <x v="14"/>
    <x v="1"/>
    <x v="0"/>
    <n v="7.89"/>
    <n v="42.53"/>
    <n v="186.71"/>
    <n v="199.38"/>
    <n v="4.6900000000000004"/>
    <n v="13.84"/>
    <n v="3.38"/>
    <n v="1"/>
    <n v="1"/>
    <x v="1"/>
  </r>
  <r>
    <s v="India"/>
    <n v="2018"/>
    <x v="63"/>
    <x v="0"/>
    <x v="1"/>
    <n v="8.0299999999999994"/>
    <n v="57.05"/>
    <n v="148.88999999999999"/>
    <n v="263.35000000000002"/>
    <n v="4.62"/>
    <n v="5.75"/>
    <n v="1.4"/>
    <n v="1"/>
    <n v="0"/>
    <x v="1"/>
  </r>
  <r>
    <s v="India"/>
    <n v="2018"/>
    <x v="42"/>
    <x v="0"/>
    <x v="1"/>
    <n v="8.44"/>
    <n v="53.37"/>
    <n v="176.06"/>
    <n v="158.37"/>
    <n v="2.97"/>
    <n v="10.64"/>
    <n v="2.6"/>
    <n v="1"/>
    <n v="1"/>
    <x v="1"/>
  </r>
  <r>
    <s v="India"/>
    <n v="2018"/>
    <x v="20"/>
    <x v="0"/>
    <x v="1"/>
    <n v="6.06"/>
    <n v="46.42"/>
    <n v="169.1"/>
    <n v="247.16"/>
    <n v="5.32"/>
    <n v="7.35"/>
    <n v="1.8"/>
    <n v="0"/>
    <n v="0"/>
    <x v="1"/>
  </r>
  <r>
    <s v="India"/>
    <n v="2018"/>
    <x v="26"/>
    <x v="0"/>
    <x v="0"/>
    <n v="8.56"/>
    <n v="45.67"/>
    <n v="203.5"/>
    <n v="223.71"/>
    <n v="4.9000000000000004"/>
    <n v="8.99"/>
    <n v="2.2000000000000002"/>
    <n v="1"/>
    <n v="0"/>
    <x v="1"/>
  </r>
  <r>
    <s v="India"/>
    <n v="2018"/>
    <x v="14"/>
    <x v="1"/>
    <x v="0"/>
    <n v="9.19"/>
    <n v="55.48"/>
    <n v="171.28"/>
    <n v="262.67"/>
    <n v="4.7300000000000004"/>
    <n v="5.83"/>
    <n v="1.43"/>
    <n v="1"/>
    <n v="0"/>
    <x v="1"/>
  </r>
  <r>
    <s v="India"/>
    <n v="2018"/>
    <x v="77"/>
    <x v="1"/>
    <x v="0"/>
    <n v="7.8"/>
    <n v="35.22"/>
    <n v="131.46"/>
    <n v="150.08000000000001"/>
    <n v="4.26"/>
    <n v="12.53"/>
    <n v="3.06"/>
    <n v="1"/>
    <n v="1"/>
    <x v="0"/>
  </r>
  <r>
    <s v="India"/>
    <n v="2018"/>
    <x v="11"/>
    <x v="0"/>
    <x v="0"/>
    <n v="7.58"/>
    <n v="30.59"/>
    <n v="134.47"/>
    <n v="242.99"/>
    <n v="7.94"/>
    <n v="8.6"/>
    <n v="2.1"/>
    <n v="1"/>
    <n v="0"/>
    <x v="1"/>
  </r>
  <r>
    <s v="India"/>
    <n v="2018"/>
    <x v="39"/>
    <x v="0"/>
    <x v="1"/>
    <n v="8.52"/>
    <n v="48.29"/>
    <n v="178.27"/>
    <n v="177.45"/>
    <n v="3.67"/>
    <n v="6.7"/>
    <n v="1.64"/>
    <n v="1"/>
    <n v="0"/>
    <x v="1"/>
  </r>
  <r>
    <s v="India"/>
    <n v="2018"/>
    <x v="63"/>
    <x v="0"/>
    <x v="1"/>
    <n v="9.86"/>
    <n v="42.26"/>
    <n v="139.49"/>
    <n v="190.25"/>
    <n v="4.5"/>
    <n v="12.68"/>
    <n v="3.1"/>
    <n v="1"/>
    <n v="1"/>
    <x v="0"/>
  </r>
  <r>
    <s v="India"/>
    <n v="2018"/>
    <x v="28"/>
    <x v="0"/>
    <x v="0"/>
    <n v="8.1199999999999992"/>
    <n v="66.45"/>
    <n v="179.54"/>
    <n v="149.28"/>
    <n v="2.25"/>
    <n v="8.83"/>
    <n v="2.16"/>
    <n v="1"/>
    <n v="0"/>
    <x v="1"/>
  </r>
  <r>
    <s v="India"/>
    <n v="2018"/>
    <x v="42"/>
    <x v="0"/>
    <x v="1"/>
    <n v="8.15"/>
    <n v="47.77"/>
    <n v="175.3"/>
    <n v="230.37"/>
    <n v="4.82"/>
    <n v="9.26"/>
    <n v="2.2599999999999998"/>
    <n v="1"/>
    <n v="0"/>
    <x v="1"/>
  </r>
  <r>
    <s v="India"/>
    <n v="2018"/>
    <x v="12"/>
    <x v="0"/>
    <x v="0"/>
    <n v="7.96"/>
    <n v="47.07"/>
    <n v="144.24"/>
    <n v="278.49"/>
    <n v="5.92"/>
    <n v="8.77"/>
    <n v="2.14"/>
    <n v="1"/>
    <n v="0"/>
    <x v="1"/>
  </r>
  <r>
    <s v="India"/>
    <n v="2018"/>
    <x v="43"/>
    <x v="0"/>
    <x v="0"/>
    <n v="7.85"/>
    <n v="27.17"/>
    <n v="164.82"/>
    <n v="234.48"/>
    <n v="8.6300000000000008"/>
    <n v="5.54"/>
    <n v="1.35"/>
    <n v="1"/>
    <n v="0"/>
    <x v="1"/>
  </r>
  <r>
    <s v="India"/>
    <n v="2018"/>
    <x v="30"/>
    <x v="0"/>
    <x v="0"/>
    <n v="8.69"/>
    <n v="46.22"/>
    <n v="98.94"/>
    <n v="243.45"/>
    <n v="5.27"/>
    <n v="4.51"/>
    <n v="1.1000000000000001"/>
    <n v="1"/>
    <n v="0"/>
    <x v="1"/>
  </r>
  <r>
    <s v="India"/>
    <n v="2018"/>
    <x v="83"/>
    <x v="1"/>
    <x v="1"/>
    <n v="9.07"/>
    <n v="69.78"/>
    <n v="140.46"/>
    <n v="214.36"/>
    <n v="3.07"/>
    <n v="8.35"/>
    <n v="2.04"/>
    <n v="1"/>
    <n v="0"/>
    <x v="1"/>
  </r>
  <r>
    <s v="India"/>
    <n v="2018"/>
    <x v="62"/>
    <x v="1"/>
    <x v="0"/>
    <n v="7.47"/>
    <n v="53.71"/>
    <n v="192.23"/>
    <n v="149.38999999999999"/>
    <n v="2.78"/>
    <n v="5.97"/>
    <n v="1.46"/>
    <n v="1"/>
    <n v="0"/>
    <x v="1"/>
  </r>
  <r>
    <s v="India"/>
    <n v="2018"/>
    <x v="54"/>
    <x v="0"/>
    <x v="2"/>
    <n v="7.04"/>
    <n v="55.48"/>
    <n v="149.93"/>
    <n v="155.61000000000001"/>
    <n v="2.8"/>
    <n v="6.04"/>
    <n v="1.48"/>
    <n v="1"/>
    <n v="0"/>
    <x v="0"/>
  </r>
  <r>
    <s v="India"/>
    <n v="2018"/>
    <x v="36"/>
    <x v="0"/>
    <x v="0"/>
    <n v="8.83"/>
    <n v="48.44"/>
    <n v="178.74"/>
    <n v="209.52"/>
    <n v="4.33"/>
    <n v="8.89"/>
    <n v="2.17"/>
    <n v="1"/>
    <n v="0"/>
    <x v="1"/>
  </r>
  <r>
    <s v="India"/>
    <n v="2018"/>
    <x v="49"/>
    <x v="0"/>
    <x v="0"/>
    <n v="7.34"/>
    <n v="38.520000000000003"/>
    <n v="184.34"/>
    <n v="170.69"/>
    <n v="4.43"/>
    <n v="3.78"/>
    <n v="0.92"/>
    <n v="1"/>
    <n v="0"/>
    <x v="1"/>
  </r>
  <r>
    <s v="India"/>
    <n v="2018"/>
    <x v="37"/>
    <x v="0"/>
    <x v="0"/>
    <n v="8.4700000000000006"/>
    <n v="58.01"/>
    <n v="167"/>
    <n v="105.24"/>
    <n v="1.81"/>
    <n v="1.02"/>
    <n v="0.25"/>
    <n v="1"/>
    <n v="0"/>
    <x v="1"/>
  </r>
  <r>
    <s v="India"/>
    <n v="2018"/>
    <x v="28"/>
    <x v="1"/>
    <x v="0"/>
    <n v="7.67"/>
    <n v="54.37"/>
    <n v="133.06"/>
    <n v="222.98"/>
    <n v="4.0999999999999996"/>
    <n v="8.7899999999999991"/>
    <n v="2.15"/>
    <n v="1"/>
    <n v="0"/>
    <x v="1"/>
  </r>
  <r>
    <s v="India"/>
    <n v="2018"/>
    <x v="49"/>
    <x v="0"/>
    <x v="0"/>
    <n v="8.25"/>
    <n v="56.57"/>
    <n v="153.30000000000001"/>
    <n v="226.68"/>
    <n v="4.01"/>
    <n v="11.26"/>
    <n v="2.75"/>
    <n v="1"/>
    <n v="1"/>
    <x v="1"/>
  </r>
  <r>
    <s v="India"/>
    <n v="2018"/>
    <x v="64"/>
    <x v="1"/>
    <x v="0"/>
    <n v="8.2200000000000006"/>
    <n v="44.31"/>
    <n v="119.1"/>
    <n v="93.12"/>
    <n v="2.1"/>
    <n v="11.47"/>
    <n v="2.8"/>
    <n v="1"/>
    <n v="1"/>
    <x v="2"/>
  </r>
  <r>
    <s v="India"/>
    <n v="2018"/>
    <x v="58"/>
    <x v="1"/>
    <x v="3"/>
    <n v="7.6"/>
    <n v="51.66"/>
    <n v="184.79"/>
    <n v="203.69"/>
    <n v="3.94"/>
    <n v="8.83"/>
    <n v="2.16"/>
    <n v="1"/>
    <n v="0"/>
    <x v="1"/>
  </r>
  <r>
    <s v="India"/>
    <n v="2018"/>
    <x v="23"/>
    <x v="0"/>
    <x v="0"/>
    <n v="9.81"/>
    <n v="36.72"/>
    <n v="166.17"/>
    <n v="242.76"/>
    <n v="6.61"/>
    <n v="3.73"/>
    <n v="0.91"/>
    <n v="1"/>
    <n v="0"/>
    <x v="1"/>
  </r>
  <r>
    <s v="India"/>
    <n v="2018"/>
    <x v="5"/>
    <x v="0"/>
    <x v="2"/>
    <n v="7.85"/>
    <n v="42.61"/>
    <n v="185.37"/>
    <n v="140.71"/>
    <n v="3.3"/>
    <n v="8"/>
    <n v="1.96"/>
    <n v="1"/>
    <n v="0"/>
    <x v="1"/>
  </r>
  <r>
    <s v="India"/>
    <n v="2018"/>
    <x v="33"/>
    <x v="0"/>
    <x v="3"/>
    <n v="7.05"/>
    <n v="55.81"/>
    <n v="166.88"/>
    <n v="246"/>
    <n v="4.41"/>
    <n v="7.28"/>
    <n v="1.78"/>
    <n v="1"/>
    <n v="0"/>
    <x v="1"/>
  </r>
  <r>
    <s v="India"/>
    <n v="2018"/>
    <x v="72"/>
    <x v="1"/>
    <x v="1"/>
    <n v="10.27"/>
    <n v="31.62"/>
    <n v="128.6"/>
    <n v="210.73"/>
    <n v="6.66"/>
    <n v="6.6"/>
    <n v="1.61"/>
    <n v="1"/>
    <n v="0"/>
    <x v="1"/>
  </r>
  <r>
    <s v="India"/>
    <n v="2018"/>
    <x v="20"/>
    <x v="1"/>
    <x v="1"/>
    <n v="9.09"/>
    <n v="45.31"/>
    <n v="132.84"/>
    <n v="220.56"/>
    <n v="4.87"/>
    <n v="7.11"/>
    <n v="1.74"/>
    <n v="1"/>
    <n v="0"/>
    <x v="1"/>
  </r>
  <r>
    <s v="India"/>
    <n v="2018"/>
    <x v="37"/>
    <x v="0"/>
    <x v="0"/>
    <n v="6.77"/>
    <n v="29.37"/>
    <n v="118.65"/>
    <n v="202.52"/>
    <n v="6.9"/>
    <n v="12.52"/>
    <n v="3.06"/>
    <n v="1"/>
    <n v="1"/>
    <x v="1"/>
  </r>
  <r>
    <s v="India"/>
    <n v="2018"/>
    <x v="83"/>
    <x v="0"/>
    <x v="1"/>
    <n v="9.3699999999999992"/>
    <n v="8.39"/>
    <n v="165.76"/>
    <n v="296.43"/>
    <n v="35.33"/>
    <n v="10.5"/>
    <n v="2.57"/>
    <n v="1"/>
    <n v="1"/>
    <x v="1"/>
  </r>
  <r>
    <s v="India"/>
    <n v="2018"/>
    <x v="10"/>
    <x v="1"/>
    <x v="0"/>
    <n v="8.4499999999999993"/>
    <n v="40.409999999999997"/>
    <n v="192.88"/>
    <n v="249.56"/>
    <n v="6.17"/>
    <n v="10.65"/>
    <n v="2.6"/>
    <n v="1"/>
    <n v="1"/>
    <x v="1"/>
  </r>
  <r>
    <s v="India"/>
    <n v="2018"/>
    <x v="43"/>
    <x v="0"/>
    <x v="0"/>
    <n v="8.5"/>
    <n v="31.14"/>
    <n v="178.82"/>
    <n v="212.63"/>
    <n v="6.83"/>
    <n v="13.47"/>
    <n v="3.29"/>
    <n v="1"/>
    <n v="1"/>
    <x v="1"/>
  </r>
  <r>
    <s v="India"/>
    <n v="2018"/>
    <x v="30"/>
    <x v="0"/>
    <x v="0"/>
    <n v="9.9"/>
    <n v="52.34"/>
    <n v="141.56"/>
    <n v="243.21"/>
    <n v="4.6500000000000004"/>
    <n v="3.49"/>
    <n v="0.85"/>
    <n v="1"/>
    <n v="0"/>
    <x v="1"/>
  </r>
  <r>
    <s v="India"/>
    <n v="2018"/>
    <x v="6"/>
    <x v="1"/>
    <x v="1"/>
    <n v="6.82"/>
    <n v="40.75"/>
    <n v="162.43"/>
    <n v="126.27"/>
    <n v="3.1"/>
    <n v="7.69"/>
    <n v="1.88"/>
    <n v="1"/>
    <n v="0"/>
    <x v="1"/>
  </r>
  <r>
    <s v="India"/>
    <n v="2018"/>
    <x v="12"/>
    <x v="0"/>
    <x v="0"/>
    <n v="8.7899999999999991"/>
    <n v="49.13"/>
    <n v="139.72999999999999"/>
    <n v="142.72"/>
    <n v="2.9"/>
    <n v="7.31"/>
    <n v="1.79"/>
    <n v="1"/>
    <n v="0"/>
    <x v="0"/>
  </r>
  <r>
    <s v="India"/>
    <n v="2018"/>
    <x v="36"/>
    <x v="0"/>
    <x v="0"/>
    <n v="6.62"/>
    <n v="39.369999999999997"/>
    <n v="136.32"/>
    <n v="220.15"/>
    <n v="5.59"/>
    <n v="12.37"/>
    <n v="3.02"/>
    <n v="1"/>
    <n v="1"/>
    <x v="1"/>
  </r>
  <r>
    <s v="India"/>
    <n v="2018"/>
    <x v="1"/>
    <x v="1"/>
    <x v="1"/>
    <n v="9.9600000000000009"/>
    <n v="34.35"/>
    <n v="164.09"/>
    <n v="302.31"/>
    <n v="8.8000000000000007"/>
    <n v="14.17"/>
    <n v="3.46"/>
    <n v="1"/>
    <n v="1"/>
    <x v="1"/>
  </r>
  <r>
    <s v="India"/>
    <n v="2018"/>
    <x v="32"/>
    <x v="1"/>
    <x v="0"/>
    <n v="6.73"/>
    <n v="55.37"/>
    <n v="185.77"/>
    <n v="132.71"/>
    <n v="2.4"/>
    <n v="11.49"/>
    <n v="2.81"/>
    <n v="1"/>
    <n v="1"/>
    <x v="1"/>
  </r>
  <r>
    <s v="India"/>
    <n v="2018"/>
    <x v="82"/>
    <x v="0"/>
    <x v="0"/>
    <n v="9.67"/>
    <n v="39.409999999999997"/>
    <n v="184.05"/>
    <n v="171.33"/>
    <n v="4.3499999999999996"/>
    <n v="6.69"/>
    <n v="1.64"/>
    <n v="1"/>
    <n v="0"/>
    <x v="1"/>
  </r>
  <r>
    <s v="India"/>
    <n v="2018"/>
    <x v="55"/>
    <x v="1"/>
    <x v="1"/>
    <n v="9.36"/>
    <n v="39.42"/>
    <n v="178.46"/>
    <n v="191.36"/>
    <n v="4.8499999999999996"/>
    <n v="11.45"/>
    <n v="2.8"/>
    <n v="1"/>
    <n v="1"/>
    <x v="1"/>
  </r>
  <r>
    <s v="India"/>
    <n v="2018"/>
    <x v="12"/>
    <x v="0"/>
    <x v="0"/>
    <n v="8.99"/>
    <n v="43.97"/>
    <n v="171.1"/>
    <n v="138.72"/>
    <n v="3.15"/>
    <n v="7.53"/>
    <n v="1.84"/>
    <n v="1"/>
    <n v="0"/>
    <x v="1"/>
  </r>
  <r>
    <s v="India"/>
    <n v="2019"/>
    <x v="28"/>
    <x v="1"/>
    <x v="0"/>
    <n v="9.19"/>
    <n v="38.979999999999997"/>
    <n v="213.6"/>
    <n v="283.58999999999997"/>
    <n v="7.27"/>
    <n v="10.77"/>
    <n v="2.63"/>
    <n v="1"/>
    <n v="1"/>
    <x v="1"/>
  </r>
  <r>
    <s v="India"/>
    <n v="2019"/>
    <x v="2"/>
    <x v="1"/>
    <x v="2"/>
    <n v="7.02"/>
    <n v="69.319999999999993"/>
    <n v="123.89"/>
    <n v="163.80000000000001"/>
    <n v="2.36"/>
    <n v="5.14"/>
    <n v="1.26"/>
    <n v="1"/>
    <n v="0"/>
    <x v="2"/>
  </r>
  <r>
    <s v="India"/>
    <n v="2019"/>
    <x v="21"/>
    <x v="1"/>
    <x v="3"/>
    <n v="5.97"/>
    <n v="44.56"/>
    <n v="107.59"/>
    <n v="145.09"/>
    <n v="3.26"/>
    <n v="8.15"/>
    <n v="1.99"/>
    <n v="0"/>
    <n v="0"/>
    <x v="2"/>
  </r>
  <r>
    <s v="India"/>
    <n v="2019"/>
    <x v="10"/>
    <x v="0"/>
    <x v="0"/>
    <n v="8.81"/>
    <n v="48.13"/>
    <n v="178.61"/>
    <n v="235.63"/>
    <n v="4.9000000000000004"/>
    <n v="11.44"/>
    <n v="2.8"/>
    <n v="1"/>
    <n v="1"/>
    <x v="1"/>
  </r>
  <r>
    <s v="India"/>
    <n v="2019"/>
    <x v="57"/>
    <x v="0"/>
    <x v="0"/>
    <n v="7.66"/>
    <n v="61.45"/>
    <n v="166.86"/>
    <n v="235.59"/>
    <n v="3.83"/>
    <n v="5.46"/>
    <n v="1.33"/>
    <n v="1"/>
    <n v="0"/>
    <x v="1"/>
  </r>
  <r>
    <s v="India"/>
    <n v="2019"/>
    <x v="80"/>
    <x v="1"/>
    <x v="0"/>
    <n v="9.15"/>
    <n v="64.92"/>
    <n v="124.15"/>
    <n v="227.93"/>
    <n v="3.51"/>
    <n v="6.76"/>
    <n v="1.65"/>
    <n v="1"/>
    <n v="0"/>
    <x v="1"/>
  </r>
  <r>
    <s v="India"/>
    <n v="2019"/>
    <x v="43"/>
    <x v="0"/>
    <x v="0"/>
    <n v="7.6"/>
    <n v="52.65"/>
    <n v="143.22999999999999"/>
    <n v="303.38"/>
    <n v="5.76"/>
    <n v="2.99"/>
    <n v="0.73"/>
    <n v="1"/>
    <n v="0"/>
    <x v="1"/>
  </r>
  <r>
    <s v="India"/>
    <n v="2019"/>
    <x v="59"/>
    <x v="1"/>
    <x v="0"/>
    <n v="8.1199999999999992"/>
    <n v="49.78"/>
    <n v="113.73"/>
    <n v="279.24"/>
    <n v="5.61"/>
    <n v="12.91"/>
    <n v="3.15"/>
    <n v="1"/>
    <n v="1"/>
    <x v="1"/>
  </r>
  <r>
    <s v="India"/>
    <n v="2019"/>
    <x v="78"/>
    <x v="0"/>
    <x v="0"/>
    <n v="7.16"/>
    <n v="27.04"/>
    <n v="178.71"/>
    <n v="133.79"/>
    <n v="4.95"/>
    <n v="11.73"/>
    <n v="2.87"/>
    <n v="1"/>
    <n v="1"/>
    <x v="1"/>
  </r>
  <r>
    <s v="India"/>
    <n v="2019"/>
    <x v="10"/>
    <x v="1"/>
    <x v="0"/>
    <n v="8.98"/>
    <n v="41.9"/>
    <n v="182.49"/>
    <n v="96.29"/>
    <n v="2.2999999999999998"/>
    <n v="2.63"/>
    <n v="0.64"/>
    <n v="1"/>
    <n v="0"/>
    <x v="1"/>
  </r>
  <r>
    <s v="India"/>
    <n v="2019"/>
    <x v="48"/>
    <x v="0"/>
    <x v="0"/>
    <n v="7.62"/>
    <n v="34.36"/>
    <n v="180.73"/>
    <n v="238.12"/>
    <n v="6.93"/>
    <n v="10.86"/>
    <n v="2.65"/>
    <n v="1"/>
    <n v="1"/>
    <x v="1"/>
  </r>
  <r>
    <s v="India"/>
    <n v="2019"/>
    <x v="72"/>
    <x v="0"/>
    <x v="1"/>
    <n v="8.5"/>
    <n v="57.25"/>
    <n v="158.07"/>
    <n v="229.04"/>
    <n v="4"/>
    <n v="6.78"/>
    <n v="1.66"/>
    <n v="1"/>
    <n v="0"/>
    <x v="1"/>
  </r>
  <r>
    <s v="India"/>
    <n v="2019"/>
    <x v="58"/>
    <x v="1"/>
    <x v="3"/>
    <n v="7.02"/>
    <n v="41.44"/>
    <n v="160.87"/>
    <n v="143.99"/>
    <n v="3.47"/>
    <n v="11.56"/>
    <n v="2.83"/>
    <n v="1"/>
    <n v="1"/>
    <x v="1"/>
  </r>
  <r>
    <s v="India"/>
    <n v="2019"/>
    <x v="23"/>
    <x v="1"/>
    <x v="0"/>
    <n v="8"/>
    <n v="36.76"/>
    <n v="153.80000000000001"/>
    <n v="201.68"/>
    <n v="5.49"/>
    <n v="5.35"/>
    <n v="1.31"/>
    <n v="1"/>
    <n v="0"/>
    <x v="1"/>
  </r>
  <r>
    <s v="India"/>
    <n v="2019"/>
    <x v="77"/>
    <x v="0"/>
    <x v="0"/>
    <n v="6.77"/>
    <n v="44.71"/>
    <n v="159.78"/>
    <n v="184.65"/>
    <n v="4.13"/>
    <n v="4.45"/>
    <n v="1.0900000000000001"/>
    <n v="1"/>
    <n v="0"/>
    <x v="0"/>
  </r>
  <r>
    <s v="India"/>
    <n v="2019"/>
    <x v="65"/>
    <x v="1"/>
    <x v="3"/>
    <n v="5.94"/>
    <n v="46.15"/>
    <n v="157.25"/>
    <n v="187.91"/>
    <n v="4.07"/>
    <n v="5.41"/>
    <n v="1.32"/>
    <n v="0"/>
    <n v="0"/>
    <x v="0"/>
  </r>
  <r>
    <s v="India"/>
    <n v="2019"/>
    <x v="54"/>
    <x v="1"/>
    <x v="2"/>
    <n v="5.81"/>
    <n v="53"/>
    <n v="167.89"/>
    <n v="288.42"/>
    <n v="5.44"/>
    <n v="4.0599999999999996"/>
    <n v="0.99"/>
    <n v="0"/>
    <n v="0"/>
    <x v="1"/>
  </r>
  <r>
    <s v="India"/>
    <n v="2019"/>
    <x v="19"/>
    <x v="0"/>
    <x v="1"/>
    <n v="9.4499999999999993"/>
    <n v="24.95"/>
    <n v="156.58000000000001"/>
    <n v="151.94"/>
    <n v="6.09"/>
    <n v="6.93"/>
    <n v="1.7"/>
    <n v="1"/>
    <n v="0"/>
    <x v="0"/>
  </r>
  <r>
    <s v="India"/>
    <n v="2019"/>
    <x v="0"/>
    <x v="0"/>
    <x v="0"/>
    <n v="6.3"/>
    <n v="31.49"/>
    <n v="149.18"/>
    <n v="250.73"/>
    <n v="7.96"/>
    <n v="13.89"/>
    <n v="3.39"/>
    <n v="0"/>
    <n v="1"/>
    <x v="1"/>
  </r>
  <r>
    <s v="India"/>
    <n v="2019"/>
    <x v="74"/>
    <x v="1"/>
    <x v="3"/>
    <n v="8.09"/>
    <n v="45.1"/>
    <n v="183.18"/>
    <n v="122.31"/>
    <n v="2.71"/>
    <n v="7.85"/>
    <n v="1.92"/>
    <n v="1"/>
    <n v="0"/>
    <x v="1"/>
  </r>
  <r>
    <s v="India"/>
    <n v="2019"/>
    <x v="31"/>
    <x v="1"/>
    <x v="1"/>
    <n v="8.81"/>
    <n v="58.79"/>
    <n v="168.39"/>
    <n v="272.20999999999998"/>
    <n v="4.63"/>
    <n v="7.44"/>
    <n v="1.82"/>
    <n v="1"/>
    <n v="0"/>
    <x v="1"/>
  </r>
  <r>
    <s v="India"/>
    <n v="2019"/>
    <x v="16"/>
    <x v="1"/>
    <x v="0"/>
    <n v="8.82"/>
    <n v="36.92"/>
    <n v="143.69"/>
    <n v="290.72000000000003"/>
    <n v="7.87"/>
    <n v="6.04"/>
    <n v="1.48"/>
    <n v="1"/>
    <n v="0"/>
    <x v="1"/>
  </r>
  <r>
    <s v="India"/>
    <n v="2019"/>
    <x v="58"/>
    <x v="1"/>
    <x v="3"/>
    <n v="7.14"/>
    <n v="67.39"/>
    <n v="183.06"/>
    <n v="171.49"/>
    <n v="2.54"/>
    <n v="9.15"/>
    <n v="2.2400000000000002"/>
    <n v="1"/>
    <n v="0"/>
    <x v="1"/>
  </r>
  <r>
    <s v="India"/>
    <n v="2019"/>
    <x v="50"/>
    <x v="0"/>
    <x v="1"/>
    <n v="7.75"/>
    <n v="40.61"/>
    <n v="183.61"/>
    <n v="193.21"/>
    <n v="4.76"/>
    <n v="2.2799999999999998"/>
    <n v="0.56000000000000005"/>
    <n v="1"/>
    <n v="0"/>
    <x v="1"/>
  </r>
  <r>
    <s v="India"/>
    <n v="2019"/>
    <x v="18"/>
    <x v="1"/>
    <x v="3"/>
    <n v="6.47"/>
    <n v="65.86"/>
    <n v="138.94999999999999"/>
    <n v="142.58000000000001"/>
    <n v="2.16"/>
    <n v="5.05"/>
    <n v="1.23"/>
    <n v="0"/>
    <n v="0"/>
    <x v="0"/>
  </r>
  <r>
    <s v="India"/>
    <n v="2019"/>
    <x v="76"/>
    <x v="0"/>
    <x v="0"/>
    <n v="8.0299999999999994"/>
    <n v="68.040000000000006"/>
    <n v="162.52000000000001"/>
    <n v="212.94"/>
    <n v="3.13"/>
    <n v="6.93"/>
    <n v="1.69"/>
    <n v="1"/>
    <n v="0"/>
    <x v="1"/>
  </r>
  <r>
    <s v="India"/>
    <n v="2019"/>
    <x v="18"/>
    <x v="0"/>
    <x v="3"/>
    <n v="6.3"/>
    <n v="57.53"/>
    <n v="125.31"/>
    <n v="192.54"/>
    <n v="3.35"/>
    <n v="1.28"/>
    <n v="0.31"/>
    <n v="0"/>
    <n v="0"/>
    <x v="2"/>
  </r>
  <r>
    <s v="India"/>
    <n v="2019"/>
    <x v="63"/>
    <x v="0"/>
    <x v="1"/>
    <n v="8.98"/>
    <n v="48.65"/>
    <n v="133.13999999999999"/>
    <n v="209.28"/>
    <n v="4.3"/>
    <n v="11.45"/>
    <n v="2.8"/>
    <n v="1"/>
    <n v="1"/>
    <x v="1"/>
  </r>
  <r>
    <s v="India"/>
    <n v="2019"/>
    <x v="4"/>
    <x v="1"/>
    <x v="1"/>
    <n v="6.88"/>
    <n v="35.07"/>
    <n v="126.9"/>
    <n v="229.37"/>
    <n v="6.54"/>
    <n v="15.28"/>
    <n v="3.74"/>
    <n v="1"/>
    <n v="1"/>
    <x v="1"/>
  </r>
  <r>
    <s v="India"/>
    <n v="2019"/>
    <x v="27"/>
    <x v="1"/>
    <x v="1"/>
    <n v="8.67"/>
    <n v="37.28"/>
    <n v="148.30000000000001"/>
    <n v="187.85"/>
    <n v="5.04"/>
    <n v="4.7699999999999996"/>
    <n v="1.17"/>
    <n v="1"/>
    <n v="0"/>
    <x v="0"/>
  </r>
  <r>
    <s v="India"/>
    <n v="2019"/>
    <x v="39"/>
    <x v="0"/>
    <x v="1"/>
    <n v="7.42"/>
    <n v="54.51"/>
    <n v="214.04"/>
    <n v="199.56"/>
    <n v="3.66"/>
    <n v="7.24"/>
    <n v="1.77"/>
    <n v="1"/>
    <n v="0"/>
    <x v="1"/>
  </r>
  <r>
    <s v="India"/>
    <n v="2019"/>
    <x v="84"/>
    <x v="1"/>
    <x v="0"/>
    <n v="8.4600000000000009"/>
    <n v="54.19"/>
    <n v="109.69"/>
    <n v="215.82"/>
    <n v="3.98"/>
    <n v="10.31"/>
    <n v="2.52"/>
    <n v="1"/>
    <n v="1"/>
    <x v="1"/>
  </r>
  <r>
    <s v="India"/>
    <n v="2019"/>
    <x v="2"/>
    <x v="0"/>
    <x v="2"/>
    <n v="8.6999999999999993"/>
    <n v="57.12"/>
    <n v="197.19"/>
    <n v="143.99"/>
    <n v="2.52"/>
    <n v="6.63"/>
    <n v="1.62"/>
    <n v="1"/>
    <n v="0"/>
    <x v="1"/>
  </r>
  <r>
    <s v="India"/>
    <n v="2019"/>
    <x v="82"/>
    <x v="1"/>
    <x v="0"/>
    <n v="9.01"/>
    <n v="49.52"/>
    <n v="168.97"/>
    <n v="139.99"/>
    <n v="2.83"/>
    <n v="11.68"/>
    <n v="2.86"/>
    <n v="1"/>
    <n v="1"/>
    <x v="1"/>
  </r>
  <r>
    <s v="India"/>
    <n v="2019"/>
    <x v="31"/>
    <x v="0"/>
    <x v="1"/>
    <n v="8.07"/>
    <n v="55.66"/>
    <n v="234.83"/>
    <n v="192.21"/>
    <n v="3.45"/>
    <n v="10.54"/>
    <n v="2.58"/>
    <n v="1"/>
    <n v="1"/>
    <x v="1"/>
  </r>
  <r>
    <s v="India"/>
    <n v="2019"/>
    <x v="3"/>
    <x v="1"/>
    <x v="0"/>
    <n v="7.03"/>
    <n v="58.49"/>
    <n v="162.93"/>
    <n v="205.7"/>
    <n v="3.52"/>
    <n v="8.1999999999999993"/>
    <n v="2"/>
    <n v="1"/>
    <n v="0"/>
    <x v="1"/>
  </r>
  <r>
    <s v="India"/>
    <n v="2019"/>
    <x v="19"/>
    <x v="0"/>
    <x v="1"/>
    <n v="8.82"/>
    <n v="49.22"/>
    <n v="125.93"/>
    <n v="196.85"/>
    <n v="4"/>
    <n v="8.7799999999999994"/>
    <n v="2.15"/>
    <n v="1"/>
    <n v="0"/>
    <x v="2"/>
  </r>
  <r>
    <s v="India"/>
    <n v="2019"/>
    <x v="42"/>
    <x v="0"/>
    <x v="1"/>
    <n v="8.73"/>
    <n v="36.32"/>
    <n v="192.04"/>
    <n v="236.94"/>
    <n v="6.52"/>
    <n v="8.01"/>
    <n v="1.96"/>
    <n v="1"/>
    <n v="0"/>
    <x v="1"/>
  </r>
  <r>
    <s v="India"/>
    <n v="2019"/>
    <x v="82"/>
    <x v="0"/>
    <x v="0"/>
    <n v="6.84"/>
    <n v="38.630000000000003"/>
    <n v="111.27"/>
    <n v="160.47999999999999"/>
    <n v="4.1500000000000004"/>
    <n v="15.44"/>
    <n v="3.77"/>
    <n v="1"/>
    <n v="1"/>
    <x v="2"/>
  </r>
  <r>
    <s v="India"/>
    <n v="2019"/>
    <x v="76"/>
    <x v="0"/>
    <x v="0"/>
    <n v="7.81"/>
    <n v="54.42"/>
    <n v="190.76"/>
    <n v="212.45"/>
    <n v="3.9"/>
    <n v="7.38"/>
    <n v="1.8"/>
    <n v="1"/>
    <n v="0"/>
    <x v="1"/>
  </r>
  <r>
    <s v="India"/>
    <n v="2019"/>
    <x v="43"/>
    <x v="0"/>
    <x v="0"/>
    <n v="9.5299999999999994"/>
    <n v="50.09"/>
    <n v="157.65"/>
    <n v="155.54"/>
    <n v="3.11"/>
    <n v="8.7200000000000006"/>
    <n v="2.13"/>
    <n v="1"/>
    <n v="0"/>
    <x v="0"/>
  </r>
  <r>
    <s v="India"/>
    <n v="2019"/>
    <x v="37"/>
    <x v="0"/>
    <x v="0"/>
    <n v="6.76"/>
    <n v="45.67"/>
    <n v="142.69"/>
    <n v="191.77"/>
    <n v="4.2"/>
    <n v="12.64"/>
    <n v="3.09"/>
    <n v="1"/>
    <n v="1"/>
    <x v="0"/>
  </r>
  <r>
    <s v="India"/>
    <n v="2019"/>
    <x v="37"/>
    <x v="0"/>
    <x v="0"/>
    <n v="7.88"/>
    <n v="39.549999999999997"/>
    <n v="155.51"/>
    <n v="145.19999999999999"/>
    <n v="3.67"/>
    <n v="5.09"/>
    <n v="1.24"/>
    <n v="1"/>
    <n v="0"/>
    <x v="0"/>
  </r>
  <r>
    <s v="India"/>
    <n v="2019"/>
    <x v="75"/>
    <x v="1"/>
    <x v="1"/>
    <n v="9.1300000000000008"/>
    <n v="42.07"/>
    <n v="124"/>
    <n v="176.61"/>
    <n v="4.2"/>
    <n v="7.52"/>
    <n v="1.84"/>
    <n v="1"/>
    <n v="0"/>
    <x v="2"/>
  </r>
  <r>
    <s v="India"/>
    <n v="2019"/>
    <x v="27"/>
    <x v="0"/>
    <x v="1"/>
    <n v="8.9"/>
    <n v="26.69"/>
    <n v="152.85"/>
    <n v="161.07"/>
    <n v="6.04"/>
    <n v="8.3000000000000007"/>
    <n v="2.0299999999999998"/>
    <n v="1"/>
    <n v="0"/>
    <x v="0"/>
  </r>
  <r>
    <s v="India"/>
    <n v="2019"/>
    <x v="67"/>
    <x v="0"/>
    <x v="2"/>
    <n v="6.47"/>
    <n v="36.28"/>
    <n v="163.87"/>
    <n v="162.31"/>
    <n v="4.47"/>
    <n v="4.57"/>
    <n v="1.1200000000000001"/>
    <n v="0"/>
    <n v="0"/>
    <x v="1"/>
  </r>
  <r>
    <s v="India"/>
    <n v="2019"/>
    <x v="4"/>
    <x v="1"/>
    <x v="1"/>
    <n v="8.69"/>
    <n v="51.26"/>
    <n v="133.61000000000001"/>
    <n v="155.03"/>
    <n v="3.02"/>
    <n v="6.95"/>
    <n v="1.7"/>
    <n v="1"/>
    <n v="0"/>
    <x v="0"/>
  </r>
  <r>
    <s v="India"/>
    <n v="2019"/>
    <x v="2"/>
    <x v="1"/>
    <x v="2"/>
    <n v="6.05"/>
    <n v="60"/>
    <n v="158.74"/>
    <n v="232.6"/>
    <n v="3.88"/>
    <n v="11.67"/>
    <n v="2.85"/>
    <n v="0"/>
    <n v="1"/>
    <x v="1"/>
  </r>
  <r>
    <s v="India"/>
    <n v="2019"/>
    <x v="68"/>
    <x v="1"/>
    <x v="2"/>
    <n v="5.76"/>
    <n v="42.57"/>
    <n v="122.39"/>
    <n v="199.29"/>
    <n v="4.68"/>
    <n v="7.88"/>
    <n v="1.93"/>
    <n v="0"/>
    <n v="0"/>
    <x v="2"/>
  </r>
  <r>
    <s v="India"/>
    <n v="2019"/>
    <x v="77"/>
    <x v="1"/>
    <x v="0"/>
    <n v="6.87"/>
    <n v="38.68"/>
    <n v="209.87"/>
    <n v="224.01"/>
    <n v="5.79"/>
    <n v="8.4700000000000006"/>
    <n v="2.0699999999999998"/>
    <n v="1"/>
    <n v="0"/>
    <x v="1"/>
  </r>
  <r>
    <s v="India"/>
    <n v="2020"/>
    <x v="60"/>
    <x v="0"/>
    <x v="0"/>
    <n v="6.86"/>
    <n v="61.65"/>
    <n v="152.04"/>
    <n v="135.05000000000001"/>
    <n v="2.19"/>
    <n v="11.88"/>
    <n v="2.9"/>
    <n v="1"/>
    <n v="1"/>
    <x v="0"/>
  </r>
  <r>
    <s v="India"/>
    <n v="2020"/>
    <x v="0"/>
    <x v="0"/>
    <x v="0"/>
    <n v="7.97"/>
    <n v="39.42"/>
    <n v="182.58"/>
    <n v="217.71"/>
    <n v="5.52"/>
    <n v="5.41"/>
    <n v="1.32"/>
    <n v="1"/>
    <n v="0"/>
    <x v="1"/>
  </r>
  <r>
    <s v="India"/>
    <n v="2020"/>
    <x v="50"/>
    <x v="0"/>
    <x v="1"/>
    <n v="5.63"/>
    <n v="69.069999999999993"/>
    <n v="173.48"/>
    <n v="175.31"/>
    <n v="2.54"/>
    <n v="10.87"/>
    <n v="2.66"/>
    <n v="0"/>
    <n v="1"/>
    <x v="1"/>
  </r>
  <r>
    <s v="India"/>
    <n v="2020"/>
    <x v="8"/>
    <x v="1"/>
    <x v="1"/>
    <n v="9.08"/>
    <n v="54.96"/>
    <n v="180.2"/>
    <n v="313.45"/>
    <n v="5.7"/>
    <n v="1.4"/>
    <n v="0.34"/>
    <n v="1"/>
    <n v="0"/>
    <x v="1"/>
  </r>
  <r>
    <s v="India"/>
    <n v="2020"/>
    <x v="45"/>
    <x v="1"/>
    <x v="2"/>
    <n v="7.33"/>
    <n v="33.01"/>
    <n v="117.02"/>
    <n v="146.46"/>
    <n v="4.4400000000000004"/>
    <n v="11.37"/>
    <n v="2.78"/>
    <n v="1"/>
    <n v="1"/>
    <x v="2"/>
  </r>
  <r>
    <s v="India"/>
    <n v="2020"/>
    <x v="43"/>
    <x v="1"/>
    <x v="0"/>
    <n v="9.1"/>
    <n v="37.840000000000003"/>
    <n v="166.65"/>
    <n v="195.64"/>
    <n v="5.17"/>
    <n v="7.52"/>
    <n v="1.84"/>
    <n v="1"/>
    <n v="0"/>
    <x v="1"/>
  </r>
  <r>
    <s v="India"/>
    <n v="2020"/>
    <x v="21"/>
    <x v="0"/>
    <x v="3"/>
    <n v="8.15"/>
    <n v="49.3"/>
    <n v="157.77000000000001"/>
    <n v="292.57"/>
    <n v="5.93"/>
    <n v="0.09"/>
    <n v="0.02"/>
    <n v="1"/>
    <n v="0"/>
    <x v="1"/>
  </r>
  <r>
    <s v="India"/>
    <n v="2020"/>
    <x v="81"/>
    <x v="1"/>
    <x v="0"/>
    <n v="8.35"/>
    <n v="21.6"/>
    <n v="108.4"/>
    <n v="215.79"/>
    <n v="9.99"/>
    <n v="10.64"/>
    <n v="2.6"/>
    <n v="1"/>
    <n v="1"/>
    <x v="1"/>
  </r>
  <r>
    <s v="India"/>
    <n v="2020"/>
    <x v="9"/>
    <x v="1"/>
    <x v="2"/>
    <n v="8.27"/>
    <n v="51.4"/>
    <n v="168.63"/>
    <n v="67.599999999999994"/>
    <n v="1.32"/>
    <n v="3.96"/>
    <n v="0.97"/>
    <n v="1"/>
    <n v="0"/>
    <x v="1"/>
  </r>
  <r>
    <s v="India"/>
    <n v="2020"/>
    <x v="9"/>
    <x v="1"/>
    <x v="2"/>
    <n v="7.06"/>
    <n v="35.31"/>
    <n v="154.94"/>
    <n v="222.96"/>
    <n v="6.31"/>
    <n v="2.2599999999999998"/>
    <n v="0.55000000000000004"/>
    <n v="1"/>
    <n v="0"/>
    <x v="1"/>
  </r>
  <r>
    <s v="India"/>
    <n v="2020"/>
    <x v="71"/>
    <x v="1"/>
    <x v="2"/>
    <n v="6.23"/>
    <n v="36.31"/>
    <n v="155.91999999999999"/>
    <n v="284.33"/>
    <n v="7.83"/>
    <n v="6.2"/>
    <n v="1.51"/>
    <n v="0"/>
    <n v="0"/>
    <x v="1"/>
  </r>
  <r>
    <s v="India"/>
    <n v="2020"/>
    <x v="74"/>
    <x v="1"/>
    <x v="3"/>
    <n v="6.85"/>
    <n v="60.15"/>
    <n v="145.96"/>
    <n v="147.05000000000001"/>
    <n v="2.44"/>
    <n v="2.81"/>
    <n v="0.69"/>
    <n v="1"/>
    <n v="0"/>
    <x v="0"/>
  </r>
  <r>
    <s v="India"/>
    <n v="2020"/>
    <x v="27"/>
    <x v="1"/>
    <x v="1"/>
    <n v="7.17"/>
    <n v="50.76"/>
    <n v="182.58"/>
    <n v="152.18"/>
    <n v="3"/>
    <n v="0.79"/>
    <n v="0.19"/>
    <n v="1"/>
    <n v="0"/>
    <x v="1"/>
  </r>
  <r>
    <s v="India"/>
    <n v="2020"/>
    <x v="81"/>
    <x v="0"/>
    <x v="0"/>
    <n v="9.44"/>
    <n v="26.71"/>
    <n v="241.74"/>
    <n v="232.13"/>
    <n v="8.69"/>
    <n v="8.74"/>
    <n v="2.14"/>
    <n v="1"/>
    <n v="0"/>
    <x v="1"/>
  </r>
  <r>
    <s v="India"/>
    <n v="2020"/>
    <x v="22"/>
    <x v="1"/>
    <x v="0"/>
    <n v="8.91"/>
    <n v="41.54"/>
    <n v="159.69999999999999"/>
    <n v="357.57"/>
    <n v="8.61"/>
    <n v="12.9"/>
    <n v="3.15"/>
    <n v="1"/>
    <n v="1"/>
    <x v="1"/>
  </r>
  <r>
    <s v="India"/>
    <n v="2020"/>
    <x v="53"/>
    <x v="1"/>
    <x v="1"/>
    <n v="8.73"/>
    <n v="34.619999999999997"/>
    <n v="173.68"/>
    <n v="166.79"/>
    <n v="4.82"/>
    <n v="6.36"/>
    <n v="1.55"/>
    <n v="1"/>
    <n v="0"/>
    <x v="1"/>
  </r>
  <r>
    <s v="India"/>
    <n v="2020"/>
    <x v="77"/>
    <x v="0"/>
    <x v="0"/>
    <n v="8.08"/>
    <n v="38.5"/>
    <n v="150.33000000000001"/>
    <n v="144.9"/>
    <n v="3.76"/>
    <n v="9.74"/>
    <n v="2.38"/>
    <n v="1"/>
    <n v="0"/>
    <x v="0"/>
  </r>
  <r>
    <s v="India"/>
    <n v="2020"/>
    <x v="23"/>
    <x v="1"/>
    <x v="0"/>
    <n v="9.92"/>
    <n v="69.38"/>
    <n v="225"/>
    <n v="197.37"/>
    <n v="2.84"/>
    <n v="10.14"/>
    <n v="2.48"/>
    <n v="1"/>
    <n v="0"/>
    <x v="1"/>
  </r>
  <r>
    <s v="India"/>
    <n v="2020"/>
    <x v="35"/>
    <x v="1"/>
    <x v="0"/>
    <n v="8.8800000000000008"/>
    <n v="46.1"/>
    <n v="108.58"/>
    <n v="263.79000000000002"/>
    <n v="5.72"/>
    <n v="5.74"/>
    <n v="1.4"/>
    <n v="1"/>
    <n v="0"/>
    <x v="1"/>
  </r>
  <r>
    <s v="India"/>
    <n v="2020"/>
    <x v="35"/>
    <x v="1"/>
    <x v="0"/>
    <n v="8.18"/>
    <n v="34.299999999999997"/>
    <n v="118.8"/>
    <n v="147.05000000000001"/>
    <n v="4.29"/>
    <n v="11.21"/>
    <n v="2.74"/>
    <n v="1"/>
    <n v="1"/>
    <x v="2"/>
  </r>
  <r>
    <s v="India"/>
    <n v="2020"/>
    <x v="18"/>
    <x v="1"/>
    <x v="3"/>
    <n v="7.88"/>
    <n v="46"/>
    <n v="133.13"/>
    <n v="195.69"/>
    <n v="4.25"/>
    <n v="8.1999999999999993"/>
    <n v="2"/>
    <n v="1"/>
    <n v="0"/>
    <x v="0"/>
  </r>
  <r>
    <s v="India"/>
    <n v="2020"/>
    <x v="84"/>
    <x v="1"/>
    <x v="0"/>
    <n v="7.79"/>
    <n v="41.77"/>
    <n v="110.69"/>
    <n v="162.1"/>
    <n v="3.88"/>
    <n v="8.14"/>
    <n v="1.99"/>
    <n v="1"/>
    <n v="0"/>
    <x v="2"/>
  </r>
  <r>
    <s v="India"/>
    <n v="2020"/>
    <x v="54"/>
    <x v="0"/>
    <x v="2"/>
    <n v="6.22"/>
    <n v="34.53"/>
    <n v="150.29"/>
    <n v="130.35"/>
    <n v="3.78"/>
    <n v="3.97"/>
    <n v="0.97"/>
    <n v="0"/>
    <n v="0"/>
    <x v="0"/>
  </r>
  <r>
    <s v="India"/>
    <n v="2020"/>
    <x v="65"/>
    <x v="1"/>
    <x v="3"/>
    <n v="6.97"/>
    <n v="63.02"/>
    <n v="160.59"/>
    <n v="200.6"/>
    <n v="3.18"/>
    <n v="5.98"/>
    <n v="1.46"/>
    <n v="1"/>
    <n v="0"/>
    <x v="1"/>
  </r>
  <r>
    <s v="India"/>
    <n v="2020"/>
    <x v="42"/>
    <x v="0"/>
    <x v="1"/>
    <n v="7.9"/>
    <n v="60.97"/>
    <n v="198.33"/>
    <n v="206.09"/>
    <n v="3.38"/>
    <n v="9.9"/>
    <n v="2.42"/>
    <n v="1"/>
    <n v="0"/>
    <x v="1"/>
  </r>
  <r>
    <s v="India"/>
    <n v="2020"/>
    <x v="7"/>
    <x v="1"/>
    <x v="0"/>
    <n v="7.02"/>
    <n v="56.4"/>
    <n v="181.6"/>
    <n v="148.76"/>
    <n v="2.64"/>
    <n v="9.76"/>
    <n v="2.39"/>
    <n v="1"/>
    <n v="0"/>
    <x v="1"/>
  </r>
  <r>
    <s v="India"/>
    <n v="2020"/>
    <x v="70"/>
    <x v="0"/>
    <x v="1"/>
    <n v="6.69"/>
    <n v="49.11"/>
    <n v="127.99"/>
    <n v="186.79"/>
    <n v="3.8"/>
    <n v="7.51"/>
    <n v="1.84"/>
    <n v="1"/>
    <n v="0"/>
    <x v="2"/>
  </r>
  <r>
    <s v="India"/>
    <n v="2020"/>
    <x v="45"/>
    <x v="1"/>
    <x v="2"/>
    <n v="7.19"/>
    <n v="46.77"/>
    <n v="164.5"/>
    <n v="163.41"/>
    <n v="3.49"/>
    <n v="6.6"/>
    <n v="1.61"/>
    <n v="1"/>
    <n v="0"/>
    <x v="1"/>
  </r>
  <r>
    <s v="India"/>
    <n v="2020"/>
    <x v="23"/>
    <x v="1"/>
    <x v="0"/>
    <n v="9.02"/>
    <n v="47.03"/>
    <n v="172.53"/>
    <n v="172.59"/>
    <n v="3.67"/>
    <n v="9.67"/>
    <n v="2.36"/>
    <n v="1"/>
    <n v="0"/>
    <x v="1"/>
  </r>
  <r>
    <s v="India"/>
    <n v="2020"/>
    <x v="39"/>
    <x v="1"/>
    <x v="1"/>
    <n v="8"/>
    <n v="55.24"/>
    <n v="132.37"/>
    <n v="206.95"/>
    <n v="3.75"/>
    <n v="4.2699999999999996"/>
    <n v="1.04"/>
    <n v="1"/>
    <n v="0"/>
    <x v="1"/>
  </r>
  <r>
    <s v="India"/>
    <n v="2020"/>
    <x v="73"/>
    <x v="0"/>
    <x v="2"/>
    <n v="6.62"/>
    <n v="43.44"/>
    <n v="93.07"/>
    <n v="124.8"/>
    <n v="2.87"/>
    <n v="10.65"/>
    <n v="2.6"/>
    <n v="1"/>
    <n v="1"/>
    <x v="2"/>
  </r>
  <r>
    <s v="India"/>
    <n v="2020"/>
    <x v="11"/>
    <x v="1"/>
    <x v="0"/>
    <n v="6.94"/>
    <n v="46.2"/>
    <n v="126.04"/>
    <n v="173.64"/>
    <n v="3.76"/>
    <n v="11.41"/>
    <n v="2.79"/>
    <n v="1"/>
    <n v="1"/>
    <x v="2"/>
  </r>
  <r>
    <s v="India"/>
    <n v="2020"/>
    <x v="21"/>
    <x v="1"/>
    <x v="3"/>
    <n v="8.09"/>
    <n v="40.909999999999997"/>
    <n v="161.97"/>
    <n v="155.94"/>
    <n v="3.81"/>
    <n v="9.15"/>
    <n v="2.2400000000000002"/>
    <n v="1"/>
    <n v="0"/>
    <x v="1"/>
  </r>
  <r>
    <s v="India"/>
    <n v="2020"/>
    <x v="15"/>
    <x v="0"/>
    <x v="0"/>
    <n v="6.58"/>
    <n v="40.26"/>
    <n v="164.67"/>
    <n v="164.2"/>
    <n v="4.08"/>
    <n v="10.94"/>
    <n v="2.67"/>
    <n v="1"/>
    <n v="1"/>
    <x v="1"/>
  </r>
  <r>
    <s v="India"/>
    <n v="2020"/>
    <x v="17"/>
    <x v="0"/>
    <x v="0"/>
    <n v="7.69"/>
    <n v="39.340000000000003"/>
    <n v="159.22"/>
    <n v="125.66"/>
    <n v="3.19"/>
    <n v="4.21"/>
    <n v="1.03"/>
    <n v="1"/>
    <n v="0"/>
    <x v="0"/>
  </r>
  <r>
    <s v="India"/>
    <n v="2020"/>
    <x v="19"/>
    <x v="0"/>
    <x v="1"/>
    <n v="10.45"/>
    <n v="37.78"/>
    <n v="169.68"/>
    <n v="187.25"/>
    <n v="4.96"/>
    <n v="17.57"/>
    <n v="4.3"/>
    <n v="1"/>
    <n v="1"/>
    <x v="1"/>
  </r>
  <r>
    <s v="India"/>
    <n v="2020"/>
    <x v="1"/>
    <x v="0"/>
    <x v="1"/>
    <n v="8.8800000000000008"/>
    <n v="35.61"/>
    <n v="210.62"/>
    <n v="148.88"/>
    <n v="4.18"/>
    <n v="8.5"/>
    <n v="2.08"/>
    <n v="1"/>
    <n v="0"/>
    <x v="1"/>
  </r>
  <r>
    <s v="India"/>
    <n v="2020"/>
    <x v="54"/>
    <x v="0"/>
    <x v="2"/>
    <n v="7.84"/>
    <n v="50.62"/>
    <n v="149.99"/>
    <n v="234.87"/>
    <n v="4.6399999999999997"/>
    <n v="2.66"/>
    <n v="0.65"/>
    <n v="1"/>
    <n v="0"/>
    <x v="1"/>
  </r>
  <r>
    <s v="India"/>
    <n v="2020"/>
    <x v="5"/>
    <x v="1"/>
    <x v="2"/>
    <n v="6.63"/>
    <n v="55.15"/>
    <n v="121.45"/>
    <n v="155.63999999999999"/>
    <n v="2.82"/>
    <n v="6.31"/>
    <n v="1.54"/>
    <n v="1"/>
    <n v="0"/>
    <x v="2"/>
  </r>
  <r>
    <s v="India"/>
    <n v="2020"/>
    <x v="28"/>
    <x v="0"/>
    <x v="0"/>
    <n v="6.22"/>
    <n v="66.11"/>
    <n v="199.14"/>
    <n v="189.04"/>
    <n v="2.86"/>
    <n v="16.16"/>
    <n v="3.95"/>
    <n v="0"/>
    <n v="1"/>
    <x v="1"/>
  </r>
  <r>
    <s v="India"/>
    <n v="2020"/>
    <x v="58"/>
    <x v="1"/>
    <x v="3"/>
    <n v="7.12"/>
    <n v="53.7"/>
    <n v="121.48"/>
    <n v="244.17"/>
    <n v="4.55"/>
    <n v="11.27"/>
    <n v="2.75"/>
    <n v="1"/>
    <n v="1"/>
    <x v="1"/>
  </r>
  <r>
    <s v="India"/>
    <n v="2020"/>
    <x v="73"/>
    <x v="0"/>
    <x v="2"/>
    <n v="6.68"/>
    <n v="49.39"/>
    <n v="219.07"/>
    <n v="175.36"/>
    <n v="3.55"/>
    <n v="10.01"/>
    <n v="2.4500000000000002"/>
    <n v="1"/>
    <n v="0"/>
    <x v="1"/>
  </r>
  <r>
    <s v="India"/>
    <n v="2020"/>
    <x v="74"/>
    <x v="0"/>
    <x v="3"/>
    <n v="7.51"/>
    <n v="37.950000000000003"/>
    <n v="134.13999999999999"/>
    <n v="167.7"/>
    <n v="4.42"/>
    <n v="7.03"/>
    <n v="1.72"/>
    <n v="1"/>
    <n v="0"/>
    <x v="0"/>
  </r>
  <r>
    <s v="India"/>
    <n v="2020"/>
    <x v="63"/>
    <x v="0"/>
    <x v="1"/>
    <n v="8.75"/>
    <n v="52.11"/>
    <n v="184.63"/>
    <n v="159.61000000000001"/>
    <n v="3.06"/>
    <n v="9.3800000000000008"/>
    <n v="2.29"/>
    <n v="1"/>
    <n v="0"/>
    <x v="1"/>
  </r>
  <r>
    <s v="India"/>
    <n v="2020"/>
    <x v="83"/>
    <x v="1"/>
    <x v="1"/>
    <n v="8.0399999999999991"/>
    <n v="46.57"/>
    <n v="143.59"/>
    <n v="228.26"/>
    <n v="4.9000000000000004"/>
    <n v="7.1"/>
    <n v="1.74"/>
    <n v="1"/>
    <n v="0"/>
    <x v="1"/>
  </r>
  <r>
    <s v="India"/>
    <n v="2020"/>
    <x v="0"/>
    <x v="1"/>
    <x v="0"/>
    <n v="6.98"/>
    <n v="58.8"/>
    <n v="199.01"/>
    <n v="195.49"/>
    <n v="3.32"/>
    <n v="3.05"/>
    <n v="0.75"/>
    <n v="1"/>
    <n v="0"/>
    <x v="1"/>
  </r>
  <r>
    <s v="India"/>
    <n v="2020"/>
    <x v="15"/>
    <x v="0"/>
    <x v="0"/>
    <n v="7.71"/>
    <n v="41.44"/>
    <n v="158.61000000000001"/>
    <n v="177.61"/>
    <n v="4.29"/>
    <n v="5.45"/>
    <n v="1.33"/>
    <n v="1"/>
    <n v="0"/>
    <x v="0"/>
  </r>
  <r>
    <s v="India"/>
    <n v="2020"/>
    <x v="68"/>
    <x v="1"/>
    <x v="2"/>
    <n v="7.53"/>
    <n v="47.18"/>
    <n v="162.41999999999999"/>
    <n v="247.4"/>
    <n v="5.24"/>
    <n v="10.98"/>
    <n v="2.68"/>
    <n v="1"/>
    <n v="1"/>
    <x v="1"/>
  </r>
  <r>
    <s v="India"/>
    <n v="2020"/>
    <x v="55"/>
    <x v="1"/>
    <x v="1"/>
    <n v="9.08"/>
    <n v="19.09"/>
    <n v="150.47999999999999"/>
    <n v="140.96"/>
    <n v="7.38"/>
    <n v="12.64"/>
    <n v="3.09"/>
    <n v="1"/>
    <n v="1"/>
    <x v="0"/>
  </r>
  <r>
    <s v="India"/>
    <n v="2020"/>
    <x v="44"/>
    <x v="0"/>
    <x v="1"/>
    <n v="8.99"/>
    <n v="48.84"/>
    <n v="176.45"/>
    <n v="251.51"/>
    <n v="5.15"/>
    <n v="9.92"/>
    <n v="2.42"/>
    <n v="1"/>
    <n v="0"/>
    <x v="1"/>
  </r>
  <r>
    <s v="India"/>
    <n v="2021"/>
    <x v="36"/>
    <x v="0"/>
    <x v="0"/>
    <n v="8.23"/>
    <n v="42.07"/>
    <n v="159.38"/>
    <n v="191.85"/>
    <n v="4.5599999999999996"/>
    <n v="10.41"/>
    <n v="2.5499999999999998"/>
    <n v="1"/>
    <n v="1"/>
    <x v="0"/>
  </r>
  <r>
    <s v="India"/>
    <n v="2021"/>
    <x v="35"/>
    <x v="0"/>
    <x v="0"/>
    <n v="7.14"/>
    <n v="45.79"/>
    <n v="145.58000000000001"/>
    <n v="181.23"/>
    <n v="3.96"/>
    <n v="12.18"/>
    <n v="2.98"/>
    <n v="1"/>
    <n v="1"/>
    <x v="0"/>
  </r>
  <r>
    <s v="India"/>
    <n v="2021"/>
    <x v="79"/>
    <x v="1"/>
    <x v="3"/>
    <n v="6.42"/>
    <n v="65.48"/>
    <n v="165.44"/>
    <n v="222.85"/>
    <n v="3.4"/>
    <n v="5.19"/>
    <n v="1.27"/>
    <n v="0"/>
    <n v="0"/>
    <x v="1"/>
  </r>
  <r>
    <s v="India"/>
    <n v="2021"/>
    <x v="1"/>
    <x v="0"/>
    <x v="1"/>
    <n v="10.16"/>
    <n v="52.78"/>
    <n v="168.41"/>
    <n v="172.62"/>
    <n v="3.27"/>
    <n v="8.2200000000000006"/>
    <n v="2.0099999999999998"/>
    <n v="1"/>
    <n v="0"/>
    <x v="1"/>
  </r>
  <r>
    <s v="India"/>
    <n v="2021"/>
    <x v="63"/>
    <x v="1"/>
    <x v="1"/>
    <n v="8.6999999999999993"/>
    <n v="45.14"/>
    <n v="159.66"/>
    <n v="298.63"/>
    <n v="6.62"/>
    <n v="10.46"/>
    <n v="2.56"/>
    <n v="1"/>
    <n v="1"/>
    <x v="1"/>
  </r>
  <r>
    <s v="India"/>
    <n v="2021"/>
    <x v="4"/>
    <x v="1"/>
    <x v="1"/>
    <n v="10.42"/>
    <n v="51.07"/>
    <n v="174.17"/>
    <n v="241.72"/>
    <n v="4.7300000000000004"/>
    <n v="10.39"/>
    <n v="2.54"/>
    <n v="1"/>
    <n v="1"/>
    <x v="1"/>
  </r>
  <r>
    <s v="India"/>
    <n v="2021"/>
    <x v="18"/>
    <x v="0"/>
    <x v="3"/>
    <n v="7.43"/>
    <n v="45.21"/>
    <n v="127.44"/>
    <n v="167.73"/>
    <n v="3.71"/>
    <n v="5.21"/>
    <n v="1.27"/>
    <n v="1"/>
    <n v="0"/>
    <x v="2"/>
  </r>
  <r>
    <s v="India"/>
    <n v="2021"/>
    <x v="52"/>
    <x v="0"/>
    <x v="1"/>
    <n v="8.1999999999999993"/>
    <n v="44.36"/>
    <n v="167.87"/>
    <n v="152.36000000000001"/>
    <n v="3.43"/>
    <n v="6.29"/>
    <n v="1.54"/>
    <n v="1"/>
    <n v="0"/>
    <x v="1"/>
  </r>
  <r>
    <s v="India"/>
    <n v="2021"/>
    <x v="55"/>
    <x v="0"/>
    <x v="1"/>
    <n v="8.14"/>
    <n v="52.2"/>
    <n v="168"/>
    <n v="117.65"/>
    <n v="2.25"/>
    <n v="9.27"/>
    <n v="2.27"/>
    <n v="1"/>
    <n v="0"/>
    <x v="1"/>
  </r>
  <r>
    <s v="India"/>
    <n v="2021"/>
    <x v="17"/>
    <x v="0"/>
    <x v="0"/>
    <n v="8.32"/>
    <n v="73.05"/>
    <n v="138.65"/>
    <n v="226.03"/>
    <n v="3.09"/>
    <n v="10.68"/>
    <n v="2.61"/>
    <n v="1"/>
    <n v="1"/>
    <x v="1"/>
  </r>
  <r>
    <s v="India"/>
    <n v="2021"/>
    <x v="78"/>
    <x v="0"/>
    <x v="0"/>
    <n v="7.89"/>
    <n v="58.98"/>
    <n v="124.81"/>
    <n v="168.88"/>
    <n v="2.86"/>
    <n v="12.01"/>
    <n v="2.94"/>
    <n v="1"/>
    <n v="1"/>
    <x v="2"/>
  </r>
  <r>
    <s v="India"/>
    <n v="2021"/>
    <x v="33"/>
    <x v="1"/>
    <x v="3"/>
    <n v="8.83"/>
    <n v="56.66"/>
    <n v="178.95"/>
    <n v="193.43"/>
    <n v="3.41"/>
    <n v="6.64"/>
    <n v="1.62"/>
    <n v="1"/>
    <n v="0"/>
    <x v="1"/>
  </r>
  <r>
    <s v="India"/>
    <n v="2021"/>
    <x v="43"/>
    <x v="0"/>
    <x v="0"/>
    <n v="7.85"/>
    <n v="61.12"/>
    <n v="148.63"/>
    <n v="116.6"/>
    <n v="1.91"/>
    <n v="15.85"/>
    <n v="3.87"/>
    <n v="1"/>
    <n v="1"/>
    <x v="0"/>
  </r>
  <r>
    <s v="India"/>
    <n v="2021"/>
    <x v="80"/>
    <x v="0"/>
    <x v="0"/>
    <n v="7.77"/>
    <n v="63.2"/>
    <n v="129.06"/>
    <n v="236.38"/>
    <n v="3.74"/>
    <n v="5.64"/>
    <n v="1.38"/>
    <n v="1"/>
    <n v="0"/>
    <x v="1"/>
  </r>
  <r>
    <s v="India"/>
    <n v="2021"/>
    <x v="84"/>
    <x v="1"/>
    <x v="0"/>
    <n v="7.03"/>
    <n v="47.43"/>
    <n v="167.23"/>
    <n v="183.89"/>
    <n v="3.88"/>
    <n v="12.61"/>
    <n v="3.08"/>
    <n v="1"/>
    <n v="1"/>
    <x v="1"/>
  </r>
  <r>
    <s v="India"/>
    <n v="2021"/>
    <x v="9"/>
    <x v="0"/>
    <x v="2"/>
    <n v="7.94"/>
    <n v="45.05"/>
    <n v="116.61"/>
    <n v="140.63"/>
    <n v="3.12"/>
    <n v="5.52"/>
    <n v="1.35"/>
    <n v="1"/>
    <n v="0"/>
    <x v="2"/>
  </r>
  <r>
    <s v="India"/>
    <n v="2021"/>
    <x v="59"/>
    <x v="0"/>
    <x v="0"/>
    <n v="9.9"/>
    <n v="47.89"/>
    <n v="162.57"/>
    <n v="116.4"/>
    <n v="2.4300000000000002"/>
    <n v="13.13"/>
    <n v="3.21"/>
    <n v="1"/>
    <n v="1"/>
    <x v="1"/>
  </r>
  <r>
    <s v="India"/>
    <n v="2021"/>
    <x v="46"/>
    <x v="0"/>
    <x v="0"/>
    <n v="8.7200000000000006"/>
    <n v="52.23"/>
    <n v="171.03"/>
    <n v="162.53"/>
    <n v="3.11"/>
    <n v="7.12"/>
    <n v="1.74"/>
    <n v="1"/>
    <n v="0"/>
    <x v="1"/>
  </r>
  <r>
    <s v="India"/>
    <n v="2021"/>
    <x v="3"/>
    <x v="0"/>
    <x v="0"/>
    <n v="8.0399999999999991"/>
    <n v="51.21"/>
    <n v="179.76"/>
    <n v="197.01"/>
    <n v="3.85"/>
    <n v="4.3600000000000003"/>
    <n v="1.06"/>
    <n v="1"/>
    <n v="0"/>
    <x v="1"/>
  </r>
  <r>
    <s v="India"/>
    <n v="2021"/>
    <x v="58"/>
    <x v="1"/>
    <x v="3"/>
    <n v="9.2100000000000009"/>
    <n v="48.9"/>
    <n v="129.04"/>
    <n v="222.45"/>
    <n v="4.55"/>
    <n v="9.25"/>
    <n v="2.2599999999999998"/>
    <n v="1"/>
    <n v="0"/>
    <x v="1"/>
  </r>
  <r>
    <s v="India"/>
    <n v="2021"/>
    <x v="44"/>
    <x v="1"/>
    <x v="1"/>
    <n v="7.22"/>
    <n v="43.39"/>
    <n v="179.53"/>
    <n v="133.24"/>
    <n v="3.07"/>
    <n v="3.61"/>
    <n v="0.88"/>
    <n v="1"/>
    <n v="0"/>
    <x v="1"/>
  </r>
  <r>
    <s v="India"/>
    <n v="2021"/>
    <x v="80"/>
    <x v="1"/>
    <x v="0"/>
    <n v="7.12"/>
    <n v="41.94"/>
    <n v="185.41"/>
    <n v="133.15"/>
    <n v="3.17"/>
    <n v="9.8800000000000008"/>
    <n v="2.41"/>
    <n v="1"/>
    <n v="0"/>
    <x v="1"/>
  </r>
  <r>
    <s v="India"/>
    <n v="2021"/>
    <x v="32"/>
    <x v="0"/>
    <x v="0"/>
    <n v="9.32"/>
    <n v="59.83"/>
    <n v="166.41"/>
    <n v="135.57"/>
    <n v="2.27"/>
    <n v="8.65"/>
    <n v="2.11"/>
    <n v="1"/>
    <n v="0"/>
    <x v="1"/>
  </r>
  <r>
    <s v="India"/>
    <n v="2021"/>
    <x v="47"/>
    <x v="0"/>
    <x v="0"/>
    <n v="8.5299999999999994"/>
    <n v="60.25"/>
    <n v="153.08000000000001"/>
    <n v="268.79000000000002"/>
    <n v="4.46"/>
    <n v="5.39"/>
    <n v="1.32"/>
    <n v="1"/>
    <n v="0"/>
    <x v="1"/>
  </r>
  <r>
    <s v="India"/>
    <n v="2021"/>
    <x v="48"/>
    <x v="0"/>
    <x v="0"/>
    <n v="9.02"/>
    <n v="66.03"/>
    <n v="169.76"/>
    <n v="152.97"/>
    <n v="2.3199999999999998"/>
    <n v="11.1"/>
    <n v="2.71"/>
    <n v="1"/>
    <n v="1"/>
    <x v="1"/>
  </r>
  <r>
    <s v="India"/>
    <n v="2021"/>
    <x v="30"/>
    <x v="0"/>
    <x v="0"/>
    <n v="7.56"/>
    <n v="43"/>
    <n v="186.2"/>
    <n v="63.9"/>
    <n v="1.49"/>
    <n v="13.31"/>
    <n v="3.25"/>
    <n v="1"/>
    <n v="1"/>
    <x v="1"/>
  </r>
  <r>
    <s v="India"/>
    <n v="2021"/>
    <x v="54"/>
    <x v="0"/>
    <x v="2"/>
    <n v="6.28"/>
    <n v="36.659999999999997"/>
    <n v="123.65"/>
    <n v="73.92"/>
    <n v="2.02"/>
    <n v="5.94"/>
    <n v="1.45"/>
    <n v="0"/>
    <n v="0"/>
    <x v="2"/>
  </r>
  <r>
    <s v="India"/>
    <n v="2021"/>
    <x v="16"/>
    <x v="0"/>
    <x v="0"/>
    <n v="8.92"/>
    <n v="44.39"/>
    <n v="175.29"/>
    <n v="213.76"/>
    <n v="4.82"/>
    <n v="8.89"/>
    <n v="2.17"/>
    <n v="1"/>
    <n v="0"/>
    <x v="1"/>
  </r>
  <r>
    <s v="India"/>
    <n v="2021"/>
    <x v="60"/>
    <x v="1"/>
    <x v="0"/>
    <n v="8.49"/>
    <n v="40.36"/>
    <n v="176"/>
    <n v="240.33"/>
    <n v="5.95"/>
    <n v="11.25"/>
    <n v="2.75"/>
    <n v="1"/>
    <n v="1"/>
    <x v="1"/>
  </r>
  <r>
    <s v="India"/>
    <n v="2021"/>
    <x v="59"/>
    <x v="0"/>
    <x v="0"/>
    <n v="7.65"/>
    <n v="63.89"/>
    <n v="171.08"/>
    <n v="153.6"/>
    <n v="2.4"/>
    <n v="10.44"/>
    <n v="2.5499999999999998"/>
    <n v="1"/>
    <n v="1"/>
    <x v="1"/>
  </r>
  <r>
    <s v="India"/>
    <n v="2021"/>
    <x v="64"/>
    <x v="1"/>
    <x v="0"/>
    <n v="8.17"/>
    <n v="78.319999999999993"/>
    <n v="149.32"/>
    <n v="210.67"/>
    <n v="2.69"/>
    <n v="7.22"/>
    <n v="1.77"/>
    <n v="1"/>
    <n v="0"/>
    <x v="1"/>
  </r>
  <r>
    <s v="India"/>
    <n v="2021"/>
    <x v="19"/>
    <x v="1"/>
    <x v="1"/>
    <n v="8.64"/>
    <n v="57.25"/>
    <n v="181.86"/>
    <n v="289.01"/>
    <n v="5.05"/>
    <n v="4.41"/>
    <n v="1.08"/>
    <n v="1"/>
    <n v="0"/>
    <x v="1"/>
  </r>
  <r>
    <s v="India"/>
    <n v="2021"/>
    <x v="46"/>
    <x v="0"/>
    <x v="0"/>
    <n v="7.09"/>
    <n v="55.78"/>
    <n v="136.03"/>
    <n v="198.53"/>
    <n v="3.56"/>
    <n v="5.39"/>
    <n v="1.32"/>
    <n v="1"/>
    <n v="0"/>
    <x v="0"/>
  </r>
  <r>
    <s v="India"/>
    <n v="2021"/>
    <x v="40"/>
    <x v="0"/>
    <x v="1"/>
    <n v="8.8699999999999992"/>
    <n v="48.72"/>
    <n v="142.31"/>
    <n v="268.10000000000002"/>
    <n v="5.5"/>
    <n v="10.06"/>
    <n v="2.46"/>
    <n v="1"/>
    <n v="0"/>
    <x v="1"/>
  </r>
  <r>
    <s v="India"/>
    <n v="2021"/>
    <x v="63"/>
    <x v="1"/>
    <x v="1"/>
    <n v="10.36"/>
    <n v="42.86"/>
    <n v="203.9"/>
    <n v="252.71"/>
    <n v="5.9"/>
    <n v="9.09"/>
    <n v="2.2200000000000002"/>
    <n v="1"/>
    <n v="0"/>
    <x v="1"/>
  </r>
  <r>
    <s v="India"/>
    <n v="2021"/>
    <x v="8"/>
    <x v="0"/>
    <x v="1"/>
    <n v="7.67"/>
    <n v="55.58"/>
    <n v="167.47"/>
    <n v="246.58"/>
    <n v="4.4400000000000004"/>
    <n v="11.14"/>
    <n v="2.72"/>
    <n v="1"/>
    <n v="1"/>
    <x v="1"/>
  </r>
  <r>
    <s v="India"/>
    <n v="2021"/>
    <x v="74"/>
    <x v="1"/>
    <x v="3"/>
    <n v="7.97"/>
    <n v="28.74"/>
    <n v="168.18"/>
    <n v="106.11"/>
    <n v="3.69"/>
    <n v="12.76"/>
    <n v="3.12"/>
    <n v="1"/>
    <n v="1"/>
    <x v="1"/>
  </r>
  <r>
    <s v="India"/>
    <n v="2021"/>
    <x v="62"/>
    <x v="1"/>
    <x v="0"/>
    <n v="8.1199999999999992"/>
    <n v="48.11"/>
    <n v="183.12"/>
    <n v="248.58"/>
    <n v="5.17"/>
    <n v="9.23"/>
    <n v="2.2599999999999998"/>
    <n v="1"/>
    <n v="0"/>
    <x v="1"/>
  </r>
  <r>
    <s v="India"/>
    <n v="2021"/>
    <x v="54"/>
    <x v="0"/>
    <x v="2"/>
    <n v="5.09"/>
    <n v="66.8"/>
    <n v="160.66999999999999"/>
    <n v="212.24"/>
    <n v="3.18"/>
    <n v="6.97"/>
    <n v="1.7"/>
    <n v="0"/>
    <n v="0"/>
    <x v="1"/>
  </r>
  <r>
    <s v="India"/>
    <n v="2021"/>
    <x v="56"/>
    <x v="0"/>
    <x v="1"/>
    <n v="7.65"/>
    <n v="40.47"/>
    <n v="143.4"/>
    <n v="236.36"/>
    <n v="5.84"/>
    <n v="6.94"/>
    <n v="1.7"/>
    <n v="1"/>
    <n v="0"/>
    <x v="1"/>
  </r>
  <r>
    <s v="India"/>
    <n v="2021"/>
    <x v="41"/>
    <x v="0"/>
    <x v="1"/>
    <n v="9.26"/>
    <n v="31.74"/>
    <n v="149.43"/>
    <n v="175.19"/>
    <n v="5.52"/>
    <n v="10.5"/>
    <n v="2.57"/>
    <n v="1"/>
    <n v="1"/>
    <x v="0"/>
  </r>
  <r>
    <s v="India"/>
    <n v="2021"/>
    <x v="29"/>
    <x v="1"/>
    <x v="0"/>
    <n v="5.15"/>
    <n v="28.02"/>
    <n v="140.09"/>
    <n v="187.47"/>
    <n v="6.69"/>
    <n v="9.59"/>
    <n v="2.34"/>
    <n v="0"/>
    <n v="0"/>
    <x v="0"/>
  </r>
  <r>
    <s v="India"/>
    <n v="2021"/>
    <x v="71"/>
    <x v="0"/>
    <x v="2"/>
    <n v="7.01"/>
    <n v="47.87"/>
    <n v="160.57"/>
    <n v="105.76"/>
    <n v="2.21"/>
    <n v="5.3"/>
    <n v="1.3"/>
    <n v="1"/>
    <n v="0"/>
    <x v="1"/>
  </r>
  <r>
    <s v="India"/>
    <n v="2021"/>
    <x v="43"/>
    <x v="1"/>
    <x v="0"/>
    <n v="7.14"/>
    <n v="32.94"/>
    <n v="167"/>
    <n v="261.63"/>
    <n v="7.94"/>
    <n v="7.52"/>
    <n v="1.84"/>
    <n v="1"/>
    <n v="0"/>
    <x v="1"/>
  </r>
  <r>
    <s v="India"/>
    <n v="2021"/>
    <x v="50"/>
    <x v="1"/>
    <x v="1"/>
    <n v="7.99"/>
    <n v="62.06"/>
    <n v="153.57"/>
    <n v="232.13"/>
    <n v="3.74"/>
    <n v="11.77"/>
    <n v="2.88"/>
    <n v="1"/>
    <n v="1"/>
    <x v="1"/>
  </r>
  <r>
    <s v="India"/>
    <n v="2021"/>
    <x v="44"/>
    <x v="0"/>
    <x v="1"/>
    <n v="10.199999999999999"/>
    <n v="47.99"/>
    <n v="146.88999999999999"/>
    <n v="166.84"/>
    <n v="3.48"/>
    <n v="7.88"/>
    <n v="1.93"/>
    <n v="1"/>
    <n v="0"/>
    <x v="0"/>
  </r>
  <r>
    <s v="India"/>
    <n v="2021"/>
    <x v="35"/>
    <x v="1"/>
    <x v="0"/>
    <n v="9.8699999999999992"/>
    <n v="52.73"/>
    <n v="181.3"/>
    <n v="156.29"/>
    <n v="2.96"/>
    <n v="6.65"/>
    <n v="1.63"/>
    <n v="1"/>
    <n v="0"/>
    <x v="1"/>
  </r>
  <r>
    <s v="India"/>
    <n v="2021"/>
    <x v="40"/>
    <x v="0"/>
    <x v="1"/>
    <n v="10.16"/>
    <n v="40.03"/>
    <n v="157.88"/>
    <n v="245.21"/>
    <n v="6.13"/>
    <n v="14.28"/>
    <n v="3.49"/>
    <n v="1"/>
    <n v="1"/>
    <x v="1"/>
  </r>
  <r>
    <s v="India"/>
    <n v="2021"/>
    <x v="33"/>
    <x v="0"/>
    <x v="3"/>
    <n v="7.32"/>
    <n v="25.62"/>
    <n v="157.88999999999999"/>
    <n v="182.95"/>
    <n v="7.14"/>
    <n v="7.09"/>
    <n v="1.73"/>
    <n v="1"/>
    <n v="0"/>
    <x v="0"/>
  </r>
  <r>
    <s v="India"/>
    <n v="2021"/>
    <x v="53"/>
    <x v="0"/>
    <x v="1"/>
    <n v="9.2799999999999994"/>
    <n v="44.37"/>
    <n v="183.8"/>
    <n v="244.81"/>
    <n v="5.52"/>
    <n v="6.12"/>
    <n v="1.5"/>
    <n v="1"/>
    <n v="0"/>
    <x v="1"/>
  </r>
  <r>
    <s v="India"/>
    <n v="2022"/>
    <x v="39"/>
    <x v="1"/>
    <x v="1"/>
    <n v="8"/>
    <n v="42.77"/>
    <n v="180.77"/>
    <n v="317.98"/>
    <n v="7.43"/>
    <n v="5.62"/>
    <n v="1.37"/>
    <n v="1"/>
    <n v="0"/>
    <x v="1"/>
  </r>
  <r>
    <s v="India"/>
    <n v="2022"/>
    <x v="13"/>
    <x v="0"/>
    <x v="1"/>
    <n v="8.7200000000000006"/>
    <n v="49.93"/>
    <n v="151.49"/>
    <n v="151.68"/>
    <n v="3.04"/>
    <n v="16.579999999999998"/>
    <n v="4.05"/>
    <n v="1"/>
    <n v="1"/>
    <x v="0"/>
  </r>
  <r>
    <s v="India"/>
    <n v="2022"/>
    <x v="82"/>
    <x v="0"/>
    <x v="0"/>
    <n v="9.5299999999999994"/>
    <n v="44.19"/>
    <n v="140.72999999999999"/>
    <n v="212.99"/>
    <n v="4.82"/>
    <n v="3.65"/>
    <n v="0.89"/>
    <n v="1"/>
    <n v="0"/>
    <x v="1"/>
  </r>
  <r>
    <s v="India"/>
    <n v="2022"/>
    <x v="49"/>
    <x v="0"/>
    <x v="0"/>
    <n v="8.3800000000000008"/>
    <n v="29.2"/>
    <n v="114.53"/>
    <n v="146.27000000000001"/>
    <n v="5.01"/>
    <n v="10.15"/>
    <n v="2.48"/>
    <n v="1"/>
    <n v="0"/>
    <x v="2"/>
  </r>
  <r>
    <s v="India"/>
    <n v="2022"/>
    <x v="48"/>
    <x v="0"/>
    <x v="0"/>
    <n v="7.23"/>
    <n v="43.14"/>
    <n v="160.51"/>
    <n v="215.93"/>
    <n v="5.01"/>
    <n v="12.72"/>
    <n v="3.11"/>
    <n v="1"/>
    <n v="1"/>
    <x v="1"/>
  </r>
  <r>
    <s v="India"/>
    <n v="2022"/>
    <x v="9"/>
    <x v="0"/>
    <x v="2"/>
    <n v="6.31"/>
    <n v="47.15"/>
    <n v="97.81"/>
    <n v="161.35"/>
    <n v="3.42"/>
    <n v="8.7100000000000009"/>
    <n v="2.13"/>
    <n v="0"/>
    <n v="0"/>
    <x v="2"/>
  </r>
  <r>
    <s v="India"/>
    <n v="2022"/>
    <x v="79"/>
    <x v="1"/>
    <x v="3"/>
    <n v="9.19"/>
    <n v="47.13"/>
    <n v="172.18"/>
    <n v="282.95"/>
    <n v="6"/>
    <n v="7.45"/>
    <n v="1.82"/>
    <n v="1"/>
    <n v="0"/>
    <x v="1"/>
  </r>
  <r>
    <s v="India"/>
    <n v="2022"/>
    <x v="32"/>
    <x v="0"/>
    <x v="0"/>
    <n v="6.08"/>
    <n v="44.74"/>
    <n v="188.88"/>
    <n v="305.93"/>
    <n v="6.84"/>
    <n v="3.16"/>
    <n v="0.77"/>
    <n v="0"/>
    <n v="0"/>
    <x v="1"/>
  </r>
  <r>
    <s v="India"/>
    <n v="2022"/>
    <x v="68"/>
    <x v="1"/>
    <x v="2"/>
    <n v="7.52"/>
    <n v="50.67"/>
    <n v="155.21"/>
    <n v="76.39"/>
    <n v="1.51"/>
    <n v="5.12"/>
    <n v="1.25"/>
    <n v="1"/>
    <n v="0"/>
    <x v="0"/>
  </r>
  <r>
    <s v="India"/>
    <n v="2022"/>
    <x v="35"/>
    <x v="1"/>
    <x v="0"/>
    <n v="6.32"/>
    <n v="70.099999999999994"/>
    <n v="177.54"/>
    <n v="268.58999999999997"/>
    <n v="3.83"/>
    <n v="2.16"/>
    <n v="0.53"/>
    <n v="0"/>
    <n v="0"/>
    <x v="1"/>
  </r>
  <r>
    <s v="India"/>
    <n v="2022"/>
    <x v="14"/>
    <x v="1"/>
    <x v="0"/>
    <n v="7.79"/>
    <n v="34.97"/>
    <n v="145.99"/>
    <n v="247.62"/>
    <n v="7.08"/>
    <n v="7.7"/>
    <n v="1.88"/>
    <n v="1"/>
    <n v="0"/>
    <x v="1"/>
  </r>
  <r>
    <s v="India"/>
    <n v="2022"/>
    <x v="13"/>
    <x v="0"/>
    <x v="1"/>
    <n v="9.0399999999999991"/>
    <n v="56.99"/>
    <n v="192.93"/>
    <n v="141.63"/>
    <n v="2.4900000000000002"/>
    <n v="9.51"/>
    <n v="2.3199999999999998"/>
    <n v="1"/>
    <n v="0"/>
    <x v="1"/>
  </r>
  <r>
    <s v="India"/>
    <n v="2022"/>
    <x v="17"/>
    <x v="1"/>
    <x v="0"/>
    <n v="6.34"/>
    <n v="55.73"/>
    <n v="197.24"/>
    <n v="146.35"/>
    <n v="2.63"/>
    <n v="5.78"/>
    <n v="1.41"/>
    <n v="0"/>
    <n v="0"/>
    <x v="1"/>
  </r>
  <r>
    <s v="India"/>
    <n v="2022"/>
    <x v="49"/>
    <x v="0"/>
    <x v="0"/>
    <n v="7.67"/>
    <n v="58.63"/>
    <n v="168.82"/>
    <n v="237.67"/>
    <n v="4.05"/>
    <n v="9.2100000000000009"/>
    <n v="2.25"/>
    <n v="1"/>
    <n v="0"/>
    <x v="1"/>
  </r>
  <r>
    <s v="India"/>
    <n v="2022"/>
    <x v="37"/>
    <x v="0"/>
    <x v="0"/>
    <n v="6.08"/>
    <n v="56.3"/>
    <n v="126.01"/>
    <n v="202.91"/>
    <n v="3.6"/>
    <n v="6.91"/>
    <n v="1.69"/>
    <n v="0"/>
    <n v="0"/>
    <x v="1"/>
  </r>
  <r>
    <s v="India"/>
    <n v="2022"/>
    <x v="8"/>
    <x v="1"/>
    <x v="1"/>
    <n v="7.93"/>
    <n v="45.79"/>
    <n v="150.94"/>
    <n v="147.83000000000001"/>
    <n v="3.23"/>
    <n v="15.79"/>
    <n v="3.86"/>
    <n v="1"/>
    <n v="1"/>
    <x v="0"/>
  </r>
  <r>
    <s v="India"/>
    <n v="2022"/>
    <x v="4"/>
    <x v="0"/>
    <x v="1"/>
    <n v="6.33"/>
    <n v="42.89"/>
    <n v="184.14"/>
    <n v="185.91"/>
    <n v="4.33"/>
    <n v="11.08"/>
    <n v="2.71"/>
    <n v="0"/>
    <n v="1"/>
    <x v="1"/>
  </r>
  <r>
    <s v="India"/>
    <n v="2022"/>
    <x v="5"/>
    <x v="1"/>
    <x v="2"/>
    <n v="6.93"/>
    <n v="67.680000000000007"/>
    <n v="124.99"/>
    <n v="256.89"/>
    <n v="3.8"/>
    <n v="4.6100000000000003"/>
    <n v="1.1299999999999999"/>
    <n v="1"/>
    <n v="0"/>
    <x v="1"/>
  </r>
  <r>
    <s v="India"/>
    <n v="2022"/>
    <x v="58"/>
    <x v="1"/>
    <x v="3"/>
    <n v="7.75"/>
    <n v="57.25"/>
    <n v="117.25"/>
    <n v="157.19999999999999"/>
    <n v="2.75"/>
    <n v="8.5299999999999994"/>
    <n v="2.08"/>
    <n v="1"/>
    <n v="0"/>
    <x v="2"/>
  </r>
  <r>
    <s v="India"/>
    <n v="2022"/>
    <x v="77"/>
    <x v="1"/>
    <x v="0"/>
    <n v="7.3"/>
    <n v="44.44"/>
    <n v="176.9"/>
    <n v="159.15"/>
    <n v="3.58"/>
    <n v="3.14"/>
    <n v="0.77"/>
    <n v="1"/>
    <n v="0"/>
    <x v="1"/>
  </r>
  <r>
    <s v="India"/>
    <n v="2022"/>
    <x v="11"/>
    <x v="0"/>
    <x v="0"/>
    <n v="5.75"/>
    <n v="39.119999999999997"/>
    <n v="156.58000000000001"/>
    <n v="194.29"/>
    <n v="4.97"/>
    <n v="10.38"/>
    <n v="2.54"/>
    <n v="0"/>
    <n v="1"/>
    <x v="0"/>
  </r>
  <r>
    <s v="India"/>
    <n v="2022"/>
    <x v="45"/>
    <x v="1"/>
    <x v="2"/>
    <n v="6.74"/>
    <n v="52.51"/>
    <n v="128.94999999999999"/>
    <n v="192.05"/>
    <n v="3.66"/>
    <n v="9.58"/>
    <n v="2.34"/>
    <n v="1"/>
    <n v="0"/>
    <x v="2"/>
  </r>
  <r>
    <s v="India"/>
    <n v="2022"/>
    <x v="29"/>
    <x v="1"/>
    <x v="0"/>
    <n v="6.83"/>
    <n v="64.61"/>
    <n v="149.15"/>
    <n v="224.71"/>
    <n v="3.48"/>
    <n v="3.52"/>
    <n v="0.86"/>
    <n v="1"/>
    <n v="0"/>
    <x v="1"/>
  </r>
  <r>
    <s v="India"/>
    <n v="2022"/>
    <x v="9"/>
    <x v="1"/>
    <x v="2"/>
    <n v="8.0500000000000007"/>
    <n v="59.14"/>
    <n v="203.97"/>
    <n v="165.2"/>
    <n v="2.79"/>
    <n v="7.35"/>
    <n v="1.8"/>
    <n v="1"/>
    <n v="0"/>
    <x v="1"/>
  </r>
  <r>
    <s v="India"/>
    <n v="2022"/>
    <x v="12"/>
    <x v="1"/>
    <x v="0"/>
    <n v="9.3800000000000008"/>
    <n v="46.87"/>
    <n v="173.33"/>
    <n v="248.16"/>
    <n v="5.29"/>
    <n v="12.1"/>
    <n v="2.96"/>
    <n v="1"/>
    <n v="1"/>
    <x v="1"/>
  </r>
  <r>
    <s v="India"/>
    <n v="2022"/>
    <x v="4"/>
    <x v="0"/>
    <x v="1"/>
    <n v="7.76"/>
    <n v="58.4"/>
    <n v="151.77000000000001"/>
    <n v="253.19"/>
    <n v="4.34"/>
    <n v="14.86"/>
    <n v="3.63"/>
    <n v="1"/>
    <n v="1"/>
    <x v="1"/>
  </r>
  <r>
    <s v="India"/>
    <n v="2022"/>
    <x v="10"/>
    <x v="0"/>
    <x v="0"/>
    <n v="8.61"/>
    <n v="62.08"/>
    <n v="181.73"/>
    <n v="255.89"/>
    <n v="4.12"/>
    <n v="7.96"/>
    <n v="1.95"/>
    <n v="1"/>
    <n v="0"/>
    <x v="1"/>
  </r>
  <r>
    <s v="India"/>
    <n v="2022"/>
    <x v="37"/>
    <x v="0"/>
    <x v="0"/>
    <n v="7.07"/>
    <n v="34.56"/>
    <n v="152.5"/>
    <n v="146.38999999999999"/>
    <n v="4.24"/>
    <n v="4.8499999999999996"/>
    <n v="1.19"/>
    <n v="1"/>
    <n v="0"/>
    <x v="0"/>
  </r>
  <r>
    <s v="India"/>
    <n v="2022"/>
    <x v="23"/>
    <x v="0"/>
    <x v="0"/>
    <n v="8.25"/>
    <n v="44.72"/>
    <n v="113.9"/>
    <n v="220.23"/>
    <n v="4.92"/>
    <n v="13.43"/>
    <n v="3.28"/>
    <n v="1"/>
    <n v="1"/>
    <x v="1"/>
  </r>
  <r>
    <s v="India"/>
    <n v="2022"/>
    <x v="55"/>
    <x v="0"/>
    <x v="1"/>
    <n v="7.85"/>
    <n v="59.34"/>
    <n v="147.78"/>
    <n v="296.51"/>
    <n v="5"/>
    <n v="10.61"/>
    <n v="2.59"/>
    <n v="1"/>
    <n v="1"/>
    <x v="1"/>
  </r>
  <r>
    <s v="India"/>
    <n v="2022"/>
    <x v="32"/>
    <x v="0"/>
    <x v="0"/>
    <n v="8.86"/>
    <n v="43.08"/>
    <n v="111.62"/>
    <n v="209.92"/>
    <n v="4.87"/>
    <n v="12.64"/>
    <n v="3.09"/>
    <n v="1"/>
    <n v="1"/>
    <x v="1"/>
  </r>
  <r>
    <s v="India"/>
    <n v="2022"/>
    <x v="23"/>
    <x v="1"/>
    <x v="0"/>
    <n v="7.33"/>
    <n v="62.23"/>
    <n v="204.13"/>
    <n v="207.76"/>
    <n v="3.34"/>
    <n v="7.89"/>
    <n v="1.93"/>
    <n v="1"/>
    <n v="0"/>
    <x v="1"/>
  </r>
  <r>
    <s v="India"/>
    <n v="2022"/>
    <x v="46"/>
    <x v="1"/>
    <x v="0"/>
    <n v="8.01"/>
    <n v="42.74"/>
    <n v="148.91999999999999"/>
    <n v="100.08"/>
    <n v="2.34"/>
    <n v="5.56"/>
    <n v="1.36"/>
    <n v="1"/>
    <n v="0"/>
    <x v="0"/>
  </r>
  <r>
    <s v="India"/>
    <n v="2022"/>
    <x v="20"/>
    <x v="0"/>
    <x v="1"/>
    <n v="10.15"/>
    <n v="47.81"/>
    <n v="184.73"/>
    <n v="206.24"/>
    <n v="4.3099999999999996"/>
    <n v="8.36"/>
    <n v="2.04"/>
    <n v="1"/>
    <n v="0"/>
    <x v="1"/>
  </r>
  <r>
    <s v="India"/>
    <n v="2022"/>
    <x v="23"/>
    <x v="0"/>
    <x v="0"/>
    <n v="10.33"/>
    <n v="55.01"/>
    <n v="168.81"/>
    <n v="164.37"/>
    <n v="2.99"/>
    <n v="10.06"/>
    <n v="2.46"/>
    <n v="1"/>
    <n v="0"/>
    <x v="1"/>
  </r>
  <r>
    <s v="India"/>
    <n v="2022"/>
    <x v="32"/>
    <x v="0"/>
    <x v="0"/>
    <n v="7.73"/>
    <n v="46.91"/>
    <n v="169.91"/>
    <n v="128.88"/>
    <n v="2.75"/>
    <n v="4.6399999999999997"/>
    <n v="1.1299999999999999"/>
    <n v="1"/>
    <n v="0"/>
    <x v="1"/>
  </r>
  <r>
    <s v="India"/>
    <n v="2022"/>
    <x v="71"/>
    <x v="1"/>
    <x v="2"/>
    <n v="6.82"/>
    <n v="42.59"/>
    <n v="138.41999999999999"/>
    <n v="143.13"/>
    <n v="3.36"/>
    <n v="1.72"/>
    <n v="0.42"/>
    <n v="1"/>
    <n v="0"/>
    <x v="0"/>
  </r>
  <r>
    <s v="India"/>
    <n v="2022"/>
    <x v="29"/>
    <x v="0"/>
    <x v="0"/>
    <n v="6.58"/>
    <n v="46.55"/>
    <n v="137.31"/>
    <n v="245.01"/>
    <n v="5.26"/>
    <n v="10.25"/>
    <n v="2.5099999999999998"/>
    <n v="1"/>
    <n v="1"/>
    <x v="1"/>
  </r>
  <r>
    <s v="India"/>
    <n v="2022"/>
    <x v="35"/>
    <x v="0"/>
    <x v="0"/>
    <n v="7.7"/>
    <n v="39.89"/>
    <n v="138.78"/>
    <n v="164.23"/>
    <n v="4.12"/>
    <n v="11.86"/>
    <n v="2.9"/>
    <n v="1"/>
    <n v="1"/>
    <x v="0"/>
  </r>
  <r>
    <s v="India"/>
    <n v="2022"/>
    <x v="37"/>
    <x v="1"/>
    <x v="0"/>
    <n v="7.01"/>
    <n v="39.4"/>
    <n v="121"/>
    <n v="149.05000000000001"/>
    <n v="3.78"/>
    <n v="7.24"/>
    <n v="1.77"/>
    <n v="1"/>
    <n v="0"/>
    <x v="2"/>
  </r>
  <r>
    <s v="India"/>
    <n v="2022"/>
    <x v="75"/>
    <x v="1"/>
    <x v="1"/>
    <n v="9.11"/>
    <n v="46.49"/>
    <n v="175.75"/>
    <n v="193.83"/>
    <n v="4.17"/>
    <n v="7.02"/>
    <n v="1.72"/>
    <n v="1"/>
    <n v="0"/>
    <x v="1"/>
  </r>
  <r>
    <s v="India"/>
    <n v="2022"/>
    <x v="10"/>
    <x v="1"/>
    <x v="0"/>
    <n v="9.2200000000000006"/>
    <n v="44.99"/>
    <n v="156.44"/>
    <n v="175.05"/>
    <n v="3.89"/>
    <n v="4.01"/>
    <n v="0.98"/>
    <n v="1"/>
    <n v="0"/>
    <x v="0"/>
  </r>
  <r>
    <s v="India"/>
    <n v="2022"/>
    <x v="79"/>
    <x v="0"/>
    <x v="3"/>
    <n v="7.1"/>
    <n v="36.46"/>
    <n v="211.24"/>
    <n v="133.83000000000001"/>
    <n v="3.67"/>
    <n v="7.37"/>
    <n v="1.8"/>
    <n v="1"/>
    <n v="0"/>
    <x v="1"/>
  </r>
  <r>
    <s v="India"/>
    <n v="2022"/>
    <x v="68"/>
    <x v="1"/>
    <x v="2"/>
    <n v="7.37"/>
    <n v="50.38"/>
    <n v="126.79"/>
    <n v="153.24"/>
    <n v="3.04"/>
    <n v="4.43"/>
    <n v="1.08"/>
    <n v="1"/>
    <n v="0"/>
    <x v="2"/>
  </r>
  <r>
    <s v="India"/>
    <n v="2022"/>
    <x v="17"/>
    <x v="1"/>
    <x v="0"/>
    <n v="7.47"/>
    <n v="39.31"/>
    <n v="210.82"/>
    <n v="184.48"/>
    <n v="4.6900000000000004"/>
    <n v="0.22"/>
    <n v="0.05"/>
    <n v="1"/>
    <n v="0"/>
    <x v="1"/>
  </r>
  <r>
    <s v="India"/>
    <n v="2022"/>
    <x v="10"/>
    <x v="0"/>
    <x v="0"/>
    <n v="8.35"/>
    <n v="41.64"/>
    <n v="188.43"/>
    <n v="181.2"/>
    <n v="4.3499999999999996"/>
    <n v="11.89"/>
    <n v="2.91"/>
    <n v="1"/>
    <n v="1"/>
    <x v="1"/>
  </r>
  <r>
    <s v="India"/>
    <n v="2022"/>
    <x v="29"/>
    <x v="1"/>
    <x v="0"/>
    <n v="8.3000000000000007"/>
    <n v="35.020000000000003"/>
    <n v="134.85"/>
    <n v="290.36"/>
    <n v="8.2899999999999991"/>
    <n v="5.86"/>
    <n v="1.43"/>
    <n v="1"/>
    <n v="0"/>
    <x v="1"/>
  </r>
  <r>
    <s v="India"/>
    <n v="2022"/>
    <x v="43"/>
    <x v="0"/>
    <x v="0"/>
    <n v="8.74"/>
    <n v="54.08"/>
    <n v="182.29"/>
    <n v="177.13"/>
    <n v="3.28"/>
    <n v="11.18"/>
    <n v="2.73"/>
    <n v="1"/>
    <n v="1"/>
    <x v="1"/>
  </r>
  <r>
    <s v="India"/>
    <n v="2022"/>
    <x v="47"/>
    <x v="0"/>
    <x v="0"/>
    <n v="7.12"/>
    <n v="55.78"/>
    <n v="187.26"/>
    <n v="265.70999999999998"/>
    <n v="4.76"/>
    <n v="7.57"/>
    <n v="1.85"/>
    <n v="1"/>
    <n v="0"/>
    <x v="1"/>
  </r>
  <r>
    <s v="India"/>
    <n v="2022"/>
    <x v="72"/>
    <x v="1"/>
    <x v="1"/>
    <n v="8.3699999999999992"/>
    <n v="56.09"/>
    <n v="126.72"/>
    <n v="221.92"/>
    <n v="3.96"/>
    <n v="4.9800000000000004"/>
    <n v="1.22"/>
    <n v="1"/>
    <n v="0"/>
    <x v="1"/>
  </r>
  <r>
    <s v="India"/>
    <n v="2023"/>
    <x v="62"/>
    <x v="1"/>
    <x v="0"/>
    <n v="6.58"/>
    <n v="54.7"/>
    <n v="119.6"/>
    <n v="351.05"/>
    <n v="6.42"/>
    <n v="7.56"/>
    <n v="1.85"/>
    <n v="1"/>
    <n v="0"/>
    <x v="1"/>
  </r>
  <r>
    <s v="India"/>
    <n v="2023"/>
    <x v="55"/>
    <x v="0"/>
    <x v="1"/>
    <n v="7.78"/>
    <n v="49.84"/>
    <n v="177.06"/>
    <n v="174.18"/>
    <n v="3.49"/>
    <n v="5.71"/>
    <n v="1.4"/>
    <n v="1"/>
    <n v="0"/>
    <x v="1"/>
  </r>
  <r>
    <s v="India"/>
    <n v="2023"/>
    <x v="76"/>
    <x v="1"/>
    <x v="0"/>
    <n v="8.5"/>
    <n v="47.88"/>
    <n v="145.9"/>
    <n v="184.91"/>
    <n v="3.86"/>
    <n v="15.33"/>
    <n v="3.75"/>
    <n v="1"/>
    <n v="1"/>
    <x v="0"/>
  </r>
  <r>
    <s v="India"/>
    <n v="2023"/>
    <x v="47"/>
    <x v="1"/>
    <x v="0"/>
    <n v="6.77"/>
    <n v="50.53"/>
    <n v="204.13"/>
    <n v="181.42"/>
    <n v="3.59"/>
    <n v="12.09"/>
    <n v="2.96"/>
    <n v="1"/>
    <n v="1"/>
    <x v="1"/>
  </r>
  <r>
    <s v="India"/>
    <n v="2023"/>
    <x v="16"/>
    <x v="1"/>
    <x v="0"/>
    <n v="6.6"/>
    <n v="48.96"/>
    <n v="133.47"/>
    <n v="202.67"/>
    <n v="4.1399999999999997"/>
    <n v="5.0999999999999996"/>
    <n v="1.25"/>
    <n v="1"/>
    <n v="0"/>
    <x v="1"/>
  </r>
  <r>
    <s v="India"/>
    <n v="2023"/>
    <x v="65"/>
    <x v="0"/>
    <x v="3"/>
    <n v="8.5299999999999994"/>
    <n v="44.49"/>
    <n v="76.069999999999993"/>
    <n v="220.27"/>
    <n v="4.95"/>
    <n v="10.57"/>
    <n v="2.58"/>
    <n v="1"/>
    <n v="1"/>
    <x v="1"/>
  </r>
  <r>
    <s v="India"/>
    <n v="2023"/>
    <x v="76"/>
    <x v="0"/>
    <x v="0"/>
    <n v="6.49"/>
    <n v="51.88"/>
    <n v="133.84"/>
    <n v="163.92"/>
    <n v="3.16"/>
    <n v="6.07"/>
    <n v="1.48"/>
    <n v="0"/>
    <n v="0"/>
    <x v="0"/>
  </r>
  <r>
    <s v="India"/>
    <n v="2023"/>
    <x v="57"/>
    <x v="1"/>
    <x v="0"/>
    <n v="9.49"/>
    <n v="50.35"/>
    <n v="167.87"/>
    <n v="274.19"/>
    <n v="5.45"/>
    <n v="13.4"/>
    <n v="3.28"/>
    <n v="1"/>
    <n v="1"/>
    <x v="1"/>
  </r>
  <r>
    <s v="India"/>
    <n v="2023"/>
    <x v="34"/>
    <x v="0"/>
    <x v="1"/>
    <n v="7.5"/>
    <n v="58.78"/>
    <n v="137.93"/>
    <n v="116.72"/>
    <n v="1.99"/>
    <n v="10.26"/>
    <n v="2.5099999999999998"/>
    <n v="1"/>
    <n v="1"/>
    <x v="0"/>
  </r>
  <r>
    <s v="India"/>
    <n v="2023"/>
    <x v="15"/>
    <x v="1"/>
    <x v="0"/>
    <n v="9.23"/>
    <n v="44.58"/>
    <n v="168.83"/>
    <n v="214.93"/>
    <n v="4.82"/>
    <n v="11.34"/>
    <n v="2.77"/>
    <n v="1"/>
    <n v="1"/>
    <x v="1"/>
  </r>
  <r>
    <s v="India"/>
    <n v="2023"/>
    <x v="9"/>
    <x v="1"/>
    <x v="2"/>
    <n v="6.94"/>
    <n v="54.25"/>
    <n v="139.30000000000001"/>
    <n v="102.62"/>
    <n v="1.89"/>
    <n v="12.2"/>
    <n v="2.98"/>
    <n v="1"/>
    <n v="1"/>
    <x v="0"/>
  </r>
  <r>
    <s v="India"/>
    <n v="2023"/>
    <x v="32"/>
    <x v="0"/>
    <x v="0"/>
    <n v="9.17"/>
    <n v="33.35"/>
    <n v="159.41999999999999"/>
    <n v="248.81"/>
    <n v="7.46"/>
    <n v="5.85"/>
    <n v="1.43"/>
    <n v="1"/>
    <n v="0"/>
    <x v="1"/>
  </r>
  <r>
    <s v="India"/>
    <n v="2023"/>
    <x v="40"/>
    <x v="0"/>
    <x v="1"/>
    <n v="8.83"/>
    <n v="44.58"/>
    <n v="143.07"/>
    <n v="219.58"/>
    <n v="4.93"/>
    <n v="12.36"/>
    <n v="3.02"/>
    <n v="1"/>
    <n v="1"/>
    <x v="1"/>
  </r>
  <r>
    <s v="India"/>
    <n v="2023"/>
    <x v="74"/>
    <x v="1"/>
    <x v="3"/>
    <n v="7.36"/>
    <n v="53.62"/>
    <n v="152.44999999999999"/>
    <n v="216.07"/>
    <n v="4.03"/>
    <n v="9.39"/>
    <n v="2.2999999999999998"/>
    <n v="1"/>
    <n v="0"/>
    <x v="1"/>
  </r>
  <r>
    <s v="India"/>
    <n v="2023"/>
    <x v="19"/>
    <x v="0"/>
    <x v="1"/>
    <n v="8.7799999999999994"/>
    <n v="20.82"/>
    <n v="174.36"/>
    <n v="197.34"/>
    <n v="9.48"/>
    <n v="10.18"/>
    <n v="2.4900000000000002"/>
    <n v="1"/>
    <n v="0"/>
    <x v="1"/>
  </r>
  <r>
    <s v="India"/>
    <n v="2023"/>
    <x v="53"/>
    <x v="1"/>
    <x v="1"/>
    <n v="7.64"/>
    <n v="47.83"/>
    <n v="134.85"/>
    <n v="195.85"/>
    <n v="4.09"/>
    <n v="12.03"/>
    <n v="2.94"/>
    <n v="1"/>
    <n v="1"/>
    <x v="0"/>
  </r>
  <r>
    <s v="India"/>
    <n v="2023"/>
    <x v="38"/>
    <x v="1"/>
    <x v="2"/>
    <n v="7.5"/>
    <n v="37.65"/>
    <n v="157.69999999999999"/>
    <n v="261.2"/>
    <n v="6.94"/>
    <n v="7.87"/>
    <n v="1.92"/>
    <n v="1"/>
    <n v="0"/>
    <x v="1"/>
  </r>
  <r>
    <s v="India"/>
    <n v="2023"/>
    <x v="63"/>
    <x v="0"/>
    <x v="1"/>
    <n v="8.2200000000000006"/>
    <n v="46.58"/>
    <n v="170.41"/>
    <n v="204.53"/>
    <n v="4.3899999999999997"/>
    <n v="6.8"/>
    <n v="1.66"/>
    <n v="1"/>
    <n v="0"/>
    <x v="1"/>
  </r>
  <r>
    <s v="India"/>
    <n v="2023"/>
    <x v="66"/>
    <x v="1"/>
    <x v="0"/>
    <n v="9.7899999999999991"/>
    <n v="44.5"/>
    <n v="160.96"/>
    <n v="284.14"/>
    <n v="6.38"/>
    <n v="10.39"/>
    <n v="2.54"/>
    <n v="1"/>
    <n v="1"/>
    <x v="1"/>
  </r>
  <r>
    <s v="India"/>
    <n v="2023"/>
    <x v="25"/>
    <x v="0"/>
    <x v="0"/>
    <n v="7.23"/>
    <n v="55.76"/>
    <n v="178.7"/>
    <n v="182.14"/>
    <n v="3.27"/>
    <n v="9.4600000000000009"/>
    <n v="2.31"/>
    <n v="1"/>
    <n v="0"/>
    <x v="1"/>
  </r>
  <r>
    <s v="India"/>
    <n v="2023"/>
    <x v="71"/>
    <x v="0"/>
    <x v="2"/>
    <n v="6.53"/>
    <n v="44.45"/>
    <n v="175.69"/>
    <n v="213.94"/>
    <n v="4.8099999999999996"/>
    <n v="7.82"/>
    <n v="1.91"/>
    <n v="1"/>
    <n v="0"/>
    <x v="1"/>
  </r>
  <r>
    <s v="India"/>
    <n v="2023"/>
    <x v="6"/>
    <x v="1"/>
    <x v="1"/>
    <n v="10.71"/>
    <n v="36.82"/>
    <n v="166.17"/>
    <n v="183.45"/>
    <n v="4.9800000000000004"/>
    <n v="12.21"/>
    <n v="2.98"/>
    <n v="1"/>
    <n v="1"/>
    <x v="1"/>
  </r>
  <r>
    <s v="India"/>
    <n v="2023"/>
    <x v="9"/>
    <x v="0"/>
    <x v="2"/>
    <n v="6.85"/>
    <n v="39.76"/>
    <n v="162.16"/>
    <n v="152.74"/>
    <n v="3.84"/>
    <n v="4.95"/>
    <n v="1.21"/>
    <n v="1"/>
    <n v="0"/>
    <x v="1"/>
  </r>
  <r>
    <s v="India"/>
    <n v="2023"/>
    <x v="80"/>
    <x v="1"/>
    <x v="0"/>
    <n v="8.9700000000000006"/>
    <n v="46.23"/>
    <n v="139.44"/>
    <n v="173.64"/>
    <n v="3.76"/>
    <n v="4.4000000000000004"/>
    <n v="1.07"/>
    <n v="1"/>
    <n v="0"/>
    <x v="0"/>
  </r>
  <r>
    <s v="India"/>
    <n v="2023"/>
    <x v="30"/>
    <x v="1"/>
    <x v="0"/>
    <n v="7.94"/>
    <n v="42.38"/>
    <n v="185.13"/>
    <n v="189.26"/>
    <n v="4.47"/>
    <n v="11.03"/>
    <n v="2.7"/>
    <n v="1"/>
    <n v="1"/>
    <x v="1"/>
  </r>
  <r>
    <s v="India"/>
    <n v="2023"/>
    <x v="17"/>
    <x v="1"/>
    <x v="0"/>
    <n v="7.3"/>
    <n v="47.59"/>
    <n v="152.91999999999999"/>
    <n v="228.09"/>
    <n v="4.79"/>
    <n v="3.33"/>
    <n v="0.81"/>
    <n v="1"/>
    <n v="0"/>
    <x v="1"/>
  </r>
  <r>
    <s v="India"/>
    <n v="2023"/>
    <x v="75"/>
    <x v="1"/>
    <x v="1"/>
    <n v="10.43"/>
    <n v="30.14"/>
    <n v="155.72"/>
    <n v="189.8"/>
    <n v="6.3"/>
    <n v="12.88"/>
    <n v="3.15"/>
    <n v="1"/>
    <n v="1"/>
    <x v="0"/>
  </r>
  <r>
    <s v="India"/>
    <n v="2023"/>
    <x v="48"/>
    <x v="0"/>
    <x v="0"/>
    <n v="8.0299999999999994"/>
    <n v="32.08"/>
    <n v="186.53"/>
    <n v="223.24"/>
    <n v="6.96"/>
    <n v="4.2"/>
    <n v="1.03"/>
    <n v="1"/>
    <n v="0"/>
    <x v="1"/>
  </r>
  <r>
    <s v="India"/>
    <n v="2023"/>
    <x v="69"/>
    <x v="1"/>
    <x v="0"/>
    <n v="6.64"/>
    <n v="55.42"/>
    <n v="141.34"/>
    <n v="125.07"/>
    <n v="2.2599999999999998"/>
    <n v="7.73"/>
    <n v="1.89"/>
    <n v="1"/>
    <n v="0"/>
    <x v="0"/>
  </r>
  <r>
    <s v="India"/>
    <n v="2023"/>
    <x v="41"/>
    <x v="1"/>
    <x v="1"/>
    <n v="6.65"/>
    <n v="52.6"/>
    <n v="183.52"/>
    <n v="139.43"/>
    <n v="2.65"/>
    <n v="10.97"/>
    <n v="2.68"/>
    <n v="1"/>
    <n v="1"/>
    <x v="1"/>
  </r>
  <r>
    <s v="India"/>
    <n v="2023"/>
    <x v="15"/>
    <x v="0"/>
    <x v="0"/>
    <n v="8.1199999999999992"/>
    <n v="50.66"/>
    <n v="169.72"/>
    <n v="177.58"/>
    <n v="3.51"/>
    <n v="7.07"/>
    <n v="1.73"/>
    <n v="1"/>
    <n v="0"/>
    <x v="1"/>
  </r>
  <r>
    <s v="India"/>
    <n v="2023"/>
    <x v="32"/>
    <x v="1"/>
    <x v="0"/>
    <n v="7.13"/>
    <n v="59.48"/>
    <n v="149.76"/>
    <n v="214.79"/>
    <n v="3.61"/>
    <n v="2.25"/>
    <n v="0.55000000000000004"/>
    <n v="1"/>
    <n v="0"/>
    <x v="1"/>
  </r>
  <r>
    <s v="India"/>
    <n v="2023"/>
    <x v="52"/>
    <x v="1"/>
    <x v="1"/>
    <n v="11.82"/>
    <n v="48.57"/>
    <n v="173.98"/>
    <n v="222.84"/>
    <n v="4.59"/>
    <n v="8.18"/>
    <n v="2"/>
    <n v="1"/>
    <n v="0"/>
    <x v="1"/>
  </r>
  <r>
    <s v="India"/>
    <n v="2023"/>
    <x v="74"/>
    <x v="0"/>
    <x v="3"/>
    <n v="9.6"/>
    <n v="47.74"/>
    <n v="181.88"/>
    <n v="217.8"/>
    <n v="4.5599999999999996"/>
    <n v="5.73"/>
    <n v="1.4"/>
    <n v="1"/>
    <n v="0"/>
    <x v="1"/>
  </r>
  <r>
    <s v="India"/>
    <n v="2023"/>
    <x v="6"/>
    <x v="1"/>
    <x v="1"/>
    <n v="8.5299999999999994"/>
    <n v="62.85"/>
    <n v="200.94"/>
    <n v="255.54"/>
    <n v="4.07"/>
    <n v="7.8"/>
    <n v="1.91"/>
    <n v="1"/>
    <n v="0"/>
    <x v="1"/>
  </r>
  <r>
    <s v="India"/>
    <n v="2023"/>
    <x v="59"/>
    <x v="0"/>
    <x v="0"/>
    <n v="7.69"/>
    <n v="52.7"/>
    <n v="152.15"/>
    <n v="173.45"/>
    <n v="3.29"/>
    <n v="2.75"/>
    <n v="0.67"/>
    <n v="1"/>
    <n v="0"/>
    <x v="0"/>
  </r>
  <r>
    <s v="India"/>
    <n v="2023"/>
    <x v="45"/>
    <x v="1"/>
    <x v="2"/>
    <n v="5.57"/>
    <n v="60.58"/>
    <n v="162.47"/>
    <n v="201.69"/>
    <n v="3.33"/>
    <n v="4.17"/>
    <n v="1.02"/>
    <n v="0"/>
    <n v="0"/>
    <x v="1"/>
  </r>
  <r>
    <s v="India"/>
    <n v="2023"/>
    <x v="72"/>
    <x v="0"/>
    <x v="1"/>
    <n v="8.4499999999999993"/>
    <n v="40.5"/>
    <n v="179.01"/>
    <n v="217.98"/>
    <n v="5.38"/>
    <n v="8.35"/>
    <n v="2.04"/>
    <n v="1"/>
    <n v="0"/>
    <x v="1"/>
  </r>
  <r>
    <s v="India"/>
    <n v="2023"/>
    <x v="55"/>
    <x v="0"/>
    <x v="1"/>
    <n v="7.94"/>
    <n v="43.45"/>
    <n v="181.16"/>
    <n v="242.6"/>
    <n v="5.58"/>
    <n v="7.01"/>
    <n v="1.71"/>
    <n v="1"/>
    <n v="0"/>
    <x v="1"/>
  </r>
  <r>
    <s v="India"/>
    <n v="2023"/>
    <x v="81"/>
    <x v="1"/>
    <x v="0"/>
    <n v="7.74"/>
    <n v="50.77"/>
    <n v="179.52"/>
    <n v="163.79"/>
    <n v="3.23"/>
    <n v="8.77"/>
    <n v="2.14"/>
    <n v="1"/>
    <n v="0"/>
    <x v="1"/>
  </r>
  <r>
    <s v="India"/>
    <n v="2023"/>
    <x v="15"/>
    <x v="0"/>
    <x v="0"/>
    <n v="7.67"/>
    <n v="30.66"/>
    <n v="167.67"/>
    <n v="246"/>
    <n v="8.02"/>
    <n v="9.59"/>
    <n v="2.34"/>
    <n v="1"/>
    <n v="0"/>
    <x v="1"/>
  </r>
  <r>
    <s v="India"/>
    <n v="2023"/>
    <x v="20"/>
    <x v="0"/>
    <x v="1"/>
    <n v="9.4700000000000006"/>
    <n v="36.9"/>
    <n v="178.34"/>
    <n v="256.99"/>
    <n v="6.97"/>
    <n v="11.09"/>
    <n v="2.71"/>
    <n v="1"/>
    <n v="1"/>
    <x v="1"/>
  </r>
  <r>
    <s v="India"/>
    <n v="2023"/>
    <x v="41"/>
    <x v="0"/>
    <x v="1"/>
    <n v="6.68"/>
    <n v="42.1"/>
    <n v="193.3"/>
    <n v="176.87"/>
    <n v="4.2"/>
    <n v="5.48"/>
    <n v="1.34"/>
    <n v="1"/>
    <n v="0"/>
    <x v="1"/>
  </r>
  <r>
    <s v="India"/>
    <n v="2023"/>
    <x v="72"/>
    <x v="0"/>
    <x v="1"/>
    <n v="9.2200000000000006"/>
    <n v="40.299999999999997"/>
    <n v="164.12"/>
    <n v="213.03"/>
    <n v="5.29"/>
    <n v="12.78"/>
    <n v="3.13"/>
    <n v="1"/>
    <n v="1"/>
    <x v="1"/>
  </r>
  <r>
    <s v="India"/>
    <n v="2023"/>
    <x v="50"/>
    <x v="1"/>
    <x v="1"/>
    <n v="7.89"/>
    <n v="63.14"/>
    <n v="170.14"/>
    <n v="184.2"/>
    <n v="2.92"/>
    <n v="15.33"/>
    <n v="3.75"/>
    <n v="1"/>
    <n v="1"/>
    <x v="1"/>
  </r>
  <r>
    <s v="India"/>
    <n v="2023"/>
    <x v="44"/>
    <x v="0"/>
    <x v="1"/>
    <n v="9.08"/>
    <n v="42.77"/>
    <n v="207.11"/>
    <n v="254.4"/>
    <n v="5.95"/>
    <n v="8.0399999999999991"/>
    <n v="1.97"/>
    <n v="1"/>
    <n v="0"/>
    <x v="1"/>
  </r>
  <r>
    <s v="India"/>
    <n v="2023"/>
    <x v="9"/>
    <x v="0"/>
    <x v="2"/>
    <n v="7.16"/>
    <n v="37.770000000000003"/>
    <n v="179.53"/>
    <n v="89.23"/>
    <n v="2.36"/>
    <n v="10.8"/>
    <n v="2.64"/>
    <n v="1"/>
    <n v="1"/>
    <x v="1"/>
  </r>
  <r>
    <s v="India"/>
    <n v="2023"/>
    <x v="13"/>
    <x v="0"/>
    <x v="1"/>
    <n v="8"/>
    <n v="48.97"/>
    <n v="148.93"/>
    <n v="204.69"/>
    <n v="4.18"/>
    <n v="6.79"/>
    <n v="1.66"/>
    <n v="1"/>
    <n v="0"/>
    <x v="1"/>
  </r>
  <r>
    <s v="India"/>
    <n v="2023"/>
    <x v="59"/>
    <x v="0"/>
    <x v="0"/>
    <n v="7.07"/>
    <n v="51.95"/>
    <n v="182.9"/>
    <n v="205.52"/>
    <n v="3.96"/>
    <n v="10.78"/>
    <n v="2.64"/>
    <n v="1"/>
    <n v="1"/>
    <x v="1"/>
  </r>
  <r>
    <s v="India"/>
    <n v="2023"/>
    <x v="18"/>
    <x v="1"/>
    <x v="3"/>
    <n v="8.65"/>
    <n v="30.43"/>
    <n v="166.68"/>
    <n v="192.3"/>
    <n v="6.32"/>
    <n v="7.87"/>
    <n v="1.92"/>
    <n v="1"/>
    <n v="0"/>
    <x v="1"/>
  </r>
  <r>
    <s v="India"/>
    <n v="2024"/>
    <x v="53"/>
    <x v="0"/>
    <x v="1"/>
    <n v="8.73"/>
    <n v="50.56"/>
    <n v="130.86000000000001"/>
    <n v="148.88"/>
    <n v="2.94"/>
    <n v="5.89"/>
    <n v="1.44"/>
    <n v="1"/>
    <n v="0"/>
    <x v="0"/>
  </r>
  <r>
    <s v="India"/>
    <n v="2024"/>
    <x v="14"/>
    <x v="1"/>
    <x v="0"/>
    <n v="8.51"/>
    <n v="28.03"/>
    <n v="222.6"/>
    <n v="217.23"/>
    <n v="7.75"/>
    <n v="8.84"/>
    <n v="2.16"/>
    <n v="1"/>
    <n v="0"/>
    <x v="1"/>
  </r>
  <r>
    <s v="India"/>
    <n v="2024"/>
    <x v="58"/>
    <x v="1"/>
    <x v="3"/>
    <n v="7.58"/>
    <n v="46.39"/>
    <n v="159.01"/>
    <n v="252.38"/>
    <n v="5.44"/>
    <n v="10.32"/>
    <n v="2.52"/>
    <n v="1"/>
    <n v="1"/>
    <x v="1"/>
  </r>
  <r>
    <s v="India"/>
    <n v="2024"/>
    <x v="57"/>
    <x v="1"/>
    <x v="0"/>
    <n v="7.77"/>
    <n v="28.44"/>
    <n v="152.56"/>
    <n v="298.7"/>
    <n v="10.5"/>
    <n v="8.3699999999999992"/>
    <n v="2.0499999999999998"/>
    <n v="1"/>
    <n v="0"/>
    <x v="1"/>
  </r>
  <r>
    <s v="India"/>
    <n v="2024"/>
    <x v="51"/>
    <x v="1"/>
    <x v="2"/>
    <n v="6.78"/>
    <n v="46.97"/>
    <n v="150.13"/>
    <n v="186.47"/>
    <n v="3.97"/>
    <n v="8.61"/>
    <n v="2.1"/>
    <n v="1"/>
    <n v="0"/>
    <x v="0"/>
  </r>
  <r>
    <s v="India"/>
    <n v="2024"/>
    <x v="80"/>
    <x v="1"/>
    <x v="0"/>
    <n v="7.61"/>
    <n v="40.74"/>
    <n v="153.69"/>
    <n v="264.91000000000003"/>
    <n v="6.5"/>
    <n v="12.36"/>
    <n v="3.02"/>
    <n v="1"/>
    <n v="1"/>
    <x v="1"/>
  </r>
  <r>
    <s v="India"/>
    <n v="2024"/>
    <x v="2"/>
    <x v="1"/>
    <x v="2"/>
    <n v="8.1999999999999993"/>
    <n v="54.94"/>
    <n v="165.81"/>
    <n v="187.46"/>
    <n v="3.41"/>
    <n v="5.77"/>
    <n v="1.41"/>
    <n v="1"/>
    <n v="0"/>
    <x v="1"/>
  </r>
  <r>
    <s v="India"/>
    <n v="2024"/>
    <x v="79"/>
    <x v="0"/>
    <x v="3"/>
    <n v="6.25"/>
    <n v="47.9"/>
    <n v="148.06"/>
    <n v="172.5"/>
    <n v="3.6"/>
    <n v="6.88"/>
    <n v="1.68"/>
    <n v="0"/>
    <n v="0"/>
    <x v="0"/>
  </r>
  <r>
    <s v="India"/>
    <n v="2024"/>
    <x v="53"/>
    <x v="1"/>
    <x v="1"/>
    <n v="7.72"/>
    <n v="45.19"/>
    <n v="129.9"/>
    <n v="175.9"/>
    <n v="3.89"/>
    <n v="7.87"/>
    <n v="1.92"/>
    <n v="1"/>
    <n v="0"/>
    <x v="2"/>
  </r>
  <r>
    <s v="India"/>
    <n v="2024"/>
    <x v="29"/>
    <x v="0"/>
    <x v="0"/>
    <n v="6.58"/>
    <n v="57.64"/>
    <n v="175.47"/>
    <n v="151.61000000000001"/>
    <n v="2.63"/>
    <n v="8.99"/>
    <n v="2.2000000000000002"/>
    <n v="1"/>
    <n v="0"/>
    <x v="1"/>
  </r>
  <r>
    <s v="India"/>
    <n v="2024"/>
    <x v="13"/>
    <x v="1"/>
    <x v="1"/>
    <n v="8.4"/>
    <n v="42.83"/>
    <n v="134.9"/>
    <n v="179.81"/>
    <n v="4.2"/>
    <n v="7.4"/>
    <n v="1.81"/>
    <n v="1"/>
    <n v="0"/>
    <x v="0"/>
  </r>
  <r>
    <s v="India"/>
    <n v="2024"/>
    <x v="73"/>
    <x v="0"/>
    <x v="2"/>
    <n v="8.3000000000000007"/>
    <n v="52.08"/>
    <n v="149.71"/>
    <n v="101.16"/>
    <n v="1.94"/>
    <n v="7.69"/>
    <n v="1.88"/>
    <n v="1"/>
    <n v="0"/>
    <x v="0"/>
  </r>
  <r>
    <s v="India"/>
    <n v="2024"/>
    <x v="26"/>
    <x v="1"/>
    <x v="0"/>
    <n v="8.4"/>
    <n v="34.119999999999997"/>
    <n v="181.41"/>
    <n v="173.27"/>
    <n v="5.08"/>
    <n v="10.029999999999999"/>
    <n v="2.4500000000000002"/>
    <n v="1"/>
    <n v="0"/>
    <x v="1"/>
  </r>
  <r>
    <s v="India"/>
    <n v="2024"/>
    <x v="73"/>
    <x v="1"/>
    <x v="2"/>
    <n v="9.33"/>
    <n v="57.32"/>
    <n v="155.06"/>
    <n v="241.41"/>
    <n v="4.21"/>
    <n v="9.49"/>
    <n v="2.3199999999999998"/>
    <n v="1"/>
    <n v="0"/>
    <x v="1"/>
  </r>
  <r>
    <s v="India"/>
    <n v="2024"/>
    <x v="58"/>
    <x v="0"/>
    <x v="3"/>
    <n v="6.05"/>
    <n v="48.03"/>
    <n v="144.26"/>
    <n v="215.2"/>
    <n v="4.4800000000000004"/>
    <n v="8.08"/>
    <n v="1.97"/>
    <n v="0"/>
    <n v="0"/>
    <x v="1"/>
  </r>
  <r>
    <s v="India"/>
    <n v="2024"/>
    <x v="67"/>
    <x v="1"/>
    <x v="2"/>
    <n v="7.05"/>
    <n v="36.97"/>
    <n v="172.77"/>
    <n v="144.59"/>
    <n v="3.91"/>
    <n v="10.44"/>
    <n v="2.5499999999999998"/>
    <n v="1"/>
    <n v="1"/>
    <x v="1"/>
  </r>
  <r>
    <s v="India"/>
    <n v="2024"/>
    <x v="18"/>
    <x v="0"/>
    <x v="3"/>
    <n v="7.06"/>
    <n v="43.48"/>
    <n v="151.36000000000001"/>
    <n v="103.34"/>
    <n v="2.38"/>
    <n v="13.05"/>
    <n v="3.19"/>
    <n v="1"/>
    <n v="1"/>
    <x v="0"/>
  </r>
  <r>
    <s v="India"/>
    <n v="2024"/>
    <x v="54"/>
    <x v="1"/>
    <x v="2"/>
    <n v="7.03"/>
    <n v="43.22"/>
    <n v="192.74"/>
    <n v="188.46"/>
    <n v="4.3600000000000003"/>
    <n v="5.65"/>
    <n v="1.38"/>
    <n v="1"/>
    <n v="0"/>
    <x v="1"/>
  </r>
  <r>
    <s v="India"/>
    <n v="2024"/>
    <x v="75"/>
    <x v="0"/>
    <x v="1"/>
    <n v="10.34"/>
    <n v="55.16"/>
    <n v="174.29"/>
    <n v="185.24"/>
    <n v="3.36"/>
    <n v="8.0299999999999994"/>
    <n v="1.96"/>
    <n v="1"/>
    <n v="0"/>
    <x v="1"/>
  </r>
  <r>
    <s v="India"/>
    <n v="2024"/>
    <x v="25"/>
    <x v="0"/>
    <x v="0"/>
    <n v="7.31"/>
    <n v="56.76"/>
    <n v="164.84"/>
    <n v="204.97"/>
    <n v="3.61"/>
    <n v="5.58"/>
    <n v="1.36"/>
    <n v="1"/>
    <n v="0"/>
    <x v="1"/>
  </r>
  <r>
    <s v="India"/>
    <n v="2024"/>
    <x v="42"/>
    <x v="0"/>
    <x v="1"/>
    <n v="6.73"/>
    <n v="33.18"/>
    <n v="177.37"/>
    <n v="235.4"/>
    <n v="7.09"/>
    <n v="12.27"/>
    <n v="3"/>
    <n v="1"/>
    <n v="1"/>
    <x v="1"/>
  </r>
  <r>
    <s v="India"/>
    <n v="2024"/>
    <x v="71"/>
    <x v="1"/>
    <x v="2"/>
    <n v="7.79"/>
    <n v="56.12"/>
    <n v="125.92"/>
    <n v="135.97999999999999"/>
    <n v="2.42"/>
    <n v="10.09"/>
    <n v="2.4700000000000002"/>
    <n v="1"/>
    <n v="0"/>
    <x v="2"/>
  </r>
  <r>
    <s v="India"/>
    <n v="2024"/>
    <x v="62"/>
    <x v="0"/>
    <x v="0"/>
    <n v="9.1199999999999992"/>
    <n v="67"/>
    <n v="181.59"/>
    <n v="156.4"/>
    <n v="2.33"/>
    <n v="5.49"/>
    <n v="1.34"/>
    <n v="1"/>
    <n v="0"/>
    <x v="1"/>
  </r>
  <r>
    <s v="India"/>
    <n v="2024"/>
    <x v="50"/>
    <x v="0"/>
    <x v="1"/>
    <n v="8.6999999999999993"/>
    <n v="52.28"/>
    <n v="186.19"/>
    <n v="206.3"/>
    <n v="3.95"/>
    <n v="9.48"/>
    <n v="2.3199999999999998"/>
    <n v="1"/>
    <n v="0"/>
    <x v="1"/>
  </r>
  <r>
    <s v="India"/>
    <n v="2024"/>
    <x v="55"/>
    <x v="1"/>
    <x v="1"/>
    <n v="7.94"/>
    <n v="43.6"/>
    <n v="146.18"/>
    <n v="216.55"/>
    <n v="4.97"/>
    <n v="7.61"/>
    <n v="1.86"/>
    <n v="1"/>
    <n v="0"/>
    <x v="1"/>
  </r>
  <r>
    <s v="India"/>
    <n v="2024"/>
    <x v="18"/>
    <x v="1"/>
    <x v="3"/>
    <n v="8.92"/>
    <n v="49.54"/>
    <n v="124.39"/>
    <n v="121.73"/>
    <n v="2.46"/>
    <n v="5.2"/>
    <n v="1.27"/>
    <n v="1"/>
    <n v="0"/>
    <x v="2"/>
  </r>
  <r>
    <s v="India"/>
    <n v="2024"/>
    <x v="58"/>
    <x v="0"/>
    <x v="3"/>
    <n v="9.27"/>
    <n v="62.34"/>
    <n v="171.16"/>
    <n v="164.86"/>
    <n v="2.64"/>
    <n v="6.1"/>
    <n v="1.49"/>
    <n v="1"/>
    <n v="0"/>
    <x v="1"/>
  </r>
  <r>
    <s v="India"/>
    <n v="2024"/>
    <x v="84"/>
    <x v="0"/>
    <x v="0"/>
    <n v="7.42"/>
    <n v="71.239999999999995"/>
    <n v="170.41"/>
    <n v="209.63"/>
    <n v="2.94"/>
    <n v="6.5"/>
    <n v="1.59"/>
    <n v="1"/>
    <n v="0"/>
    <x v="1"/>
  </r>
  <r>
    <s v="India"/>
    <n v="2024"/>
    <x v="14"/>
    <x v="0"/>
    <x v="0"/>
    <n v="8.17"/>
    <n v="46.31"/>
    <n v="202.9"/>
    <n v="265.04000000000002"/>
    <n v="5.72"/>
    <n v="7.99"/>
    <n v="1.95"/>
    <n v="1"/>
    <n v="0"/>
    <x v="1"/>
  </r>
  <r>
    <s v="India"/>
    <n v="2024"/>
    <x v="70"/>
    <x v="1"/>
    <x v="1"/>
    <n v="8.59"/>
    <n v="44.4"/>
    <n v="148.83000000000001"/>
    <n v="195.64"/>
    <n v="4.41"/>
    <n v="11.92"/>
    <n v="2.91"/>
    <n v="1"/>
    <n v="1"/>
    <x v="0"/>
  </r>
  <r>
    <s v="India"/>
    <n v="2024"/>
    <x v="14"/>
    <x v="1"/>
    <x v="0"/>
    <n v="8.27"/>
    <n v="36.729999999999997"/>
    <n v="152.07"/>
    <n v="251.52"/>
    <n v="6.85"/>
    <n v="7.76"/>
    <n v="1.9"/>
    <n v="1"/>
    <n v="0"/>
    <x v="1"/>
  </r>
  <r>
    <s v="India"/>
    <n v="2024"/>
    <x v="2"/>
    <x v="1"/>
    <x v="2"/>
    <n v="7"/>
    <n v="58.74"/>
    <n v="153.88"/>
    <n v="252.39"/>
    <n v="4.3"/>
    <n v="6.52"/>
    <n v="1.59"/>
    <n v="1"/>
    <n v="0"/>
    <x v="1"/>
  </r>
  <r>
    <s v="India"/>
    <n v="2024"/>
    <x v="50"/>
    <x v="1"/>
    <x v="1"/>
    <n v="10.99"/>
    <n v="42.23"/>
    <n v="186.98"/>
    <n v="150.52000000000001"/>
    <n v="3.56"/>
    <n v="8.9"/>
    <n v="2.1800000000000002"/>
    <n v="1"/>
    <n v="0"/>
    <x v="1"/>
  </r>
  <r>
    <s v="India"/>
    <n v="2024"/>
    <x v="33"/>
    <x v="0"/>
    <x v="3"/>
    <n v="8.0299999999999994"/>
    <n v="63.16"/>
    <n v="177.9"/>
    <n v="162.09"/>
    <n v="2.57"/>
    <n v="8.85"/>
    <n v="2.16"/>
    <n v="1"/>
    <n v="0"/>
    <x v="1"/>
  </r>
  <r>
    <s v="India"/>
    <n v="2024"/>
    <x v="69"/>
    <x v="1"/>
    <x v="0"/>
    <n v="7.73"/>
    <n v="40.4"/>
    <n v="139.19999999999999"/>
    <n v="224.5"/>
    <n v="5.56"/>
    <n v="3.7"/>
    <n v="0.91"/>
    <n v="1"/>
    <n v="0"/>
    <x v="1"/>
  </r>
  <r>
    <s v="India"/>
    <n v="2024"/>
    <x v="4"/>
    <x v="0"/>
    <x v="1"/>
    <n v="8.2899999999999991"/>
    <n v="44.7"/>
    <n v="158.83000000000001"/>
    <n v="274.92"/>
    <n v="6.15"/>
    <n v="9.92"/>
    <n v="2.4300000000000002"/>
    <n v="1"/>
    <n v="0"/>
    <x v="1"/>
  </r>
  <r>
    <s v="India"/>
    <n v="2024"/>
    <x v="77"/>
    <x v="1"/>
    <x v="0"/>
    <n v="8.17"/>
    <n v="43.92"/>
    <n v="184.57"/>
    <n v="252.02"/>
    <n v="5.74"/>
    <n v="12.74"/>
    <n v="3.11"/>
    <n v="1"/>
    <n v="1"/>
    <x v="1"/>
  </r>
  <r>
    <s v="India"/>
    <n v="2024"/>
    <x v="1"/>
    <x v="1"/>
    <x v="1"/>
    <n v="8.85"/>
    <n v="46.04"/>
    <n v="152.93"/>
    <n v="142.03"/>
    <n v="3.08"/>
    <n v="9.02"/>
    <n v="2.21"/>
    <n v="1"/>
    <n v="0"/>
    <x v="0"/>
  </r>
  <r>
    <s v="India"/>
    <n v="2024"/>
    <x v="77"/>
    <x v="0"/>
    <x v="0"/>
    <n v="8.5500000000000007"/>
    <n v="59.29"/>
    <n v="154.76"/>
    <n v="265.45999999999998"/>
    <n v="4.4800000000000004"/>
    <n v="3.38"/>
    <n v="0.83"/>
    <n v="1"/>
    <n v="0"/>
    <x v="1"/>
  </r>
  <r>
    <s v="India"/>
    <n v="2024"/>
    <x v="9"/>
    <x v="1"/>
    <x v="2"/>
    <n v="6.38"/>
    <n v="52.85"/>
    <n v="170.9"/>
    <n v="183.16"/>
    <n v="3.47"/>
    <n v="9.3000000000000007"/>
    <n v="2.27"/>
    <n v="0"/>
    <n v="0"/>
    <x v="1"/>
  </r>
  <r>
    <s v="India"/>
    <n v="2024"/>
    <x v="2"/>
    <x v="0"/>
    <x v="2"/>
    <n v="7.53"/>
    <n v="27.92"/>
    <n v="155.31"/>
    <n v="202.97"/>
    <n v="7.27"/>
    <n v="11.52"/>
    <n v="2.82"/>
    <n v="1"/>
    <n v="1"/>
    <x v="1"/>
  </r>
  <r>
    <s v="India"/>
    <n v="2024"/>
    <x v="80"/>
    <x v="0"/>
    <x v="0"/>
    <n v="7.61"/>
    <n v="58.34"/>
    <n v="137"/>
    <n v="185.93"/>
    <n v="3.19"/>
    <n v="8.73"/>
    <n v="2.13"/>
    <n v="1"/>
    <n v="0"/>
    <x v="0"/>
  </r>
  <r>
    <s v="India"/>
    <n v="2024"/>
    <x v="65"/>
    <x v="1"/>
    <x v="3"/>
    <n v="7.36"/>
    <n v="51.57"/>
    <n v="150.88"/>
    <n v="222.05"/>
    <n v="4.3099999999999996"/>
    <n v="1.2"/>
    <n v="0.28999999999999998"/>
    <n v="1"/>
    <n v="0"/>
    <x v="1"/>
  </r>
  <r>
    <s v="India"/>
    <n v="2024"/>
    <x v="75"/>
    <x v="0"/>
    <x v="1"/>
    <n v="8.57"/>
    <n v="57.48"/>
    <n v="186.25"/>
    <n v="253.56"/>
    <n v="4.41"/>
    <n v="9.6199999999999992"/>
    <n v="2.35"/>
    <n v="1"/>
    <n v="0"/>
    <x v="1"/>
  </r>
  <r>
    <s v="India"/>
    <n v="2024"/>
    <x v="14"/>
    <x v="0"/>
    <x v="0"/>
    <n v="7.94"/>
    <n v="40.06"/>
    <n v="123.43"/>
    <n v="340.8"/>
    <n v="8.51"/>
    <n v="14.65"/>
    <n v="3.58"/>
    <n v="1"/>
    <n v="1"/>
    <x v="1"/>
  </r>
  <r>
    <s v="India"/>
    <n v="2024"/>
    <x v="61"/>
    <x v="1"/>
    <x v="1"/>
    <n v="8.5500000000000007"/>
    <n v="44.22"/>
    <n v="161.80000000000001"/>
    <n v="197"/>
    <n v="4.45"/>
    <n v="11.81"/>
    <n v="2.89"/>
    <n v="1"/>
    <n v="1"/>
    <x v="1"/>
  </r>
  <r>
    <s v="India"/>
    <n v="2024"/>
    <x v="81"/>
    <x v="0"/>
    <x v="0"/>
    <n v="6.7"/>
    <n v="34.08"/>
    <n v="151.49"/>
    <n v="259.43"/>
    <n v="7.61"/>
    <n v="12.22"/>
    <n v="2.99"/>
    <n v="1"/>
    <n v="1"/>
    <x v="1"/>
  </r>
  <r>
    <s v="India"/>
    <n v="2024"/>
    <x v="76"/>
    <x v="0"/>
    <x v="0"/>
    <n v="7.42"/>
    <n v="27.21"/>
    <n v="177.86"/>
    <n v="178.49"/>
    <n v="6.56"/>
    <n v="11.4"/>
    <n v="2.79"/>
    <n v="1"/>
    <n v="1"/>
    <x v="1"/>
  </r>
  <r>
    <s v="India"/>
    <n v="2024"/>
    <x v="60"/>
    <x v="0"/>
    <x v="0"/>
    <n v="9.57"/>
    <n v="37.119999999999997"/>
    <n v="123.19"/>
    <n v="236.67"/>
    <n v="6.38"/>
    <n v="9.8000000000000007"/>
    <n v="2.39"/>
    <n v="1"/>
    <n v="0"/>
    <x v="1"/>
  </r>
  <r>
    <s v="India"/>
    <n v="2024"/>
    <x v="75"/>
    <x v="0"/>
    <x v="1"/>
    <n v="10.08"/>
    <n v="39.049999999999997"/>
    <n v="156.13999999999999"/>
    <n v="171.06"/>
    <n v="4.38"/>
    <n v="4.5599999999999996"/>
    <n v="1.1200000000000001"/>
    <n v="1"/>
    <n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1"/>
    <n v="6"/>
    <n v="13"/>
    <n v="3"/>
    <n v="33"/>
  </r>
  <r>
    <x v="1"/>
    <n v="11"/>
    <n v="4"/>
    <n v="11"/>
    <n v="0"/>
    <n v="26"/>
  </r>
  <r>
    <x v="2"/>
    <n v="22"/>
    <n v="10"/>
    <n v="24"/>
    <n v="3"/>
    <n v="5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7"/>
    <n v="6"/>
    <n v="42"/>
    <n v="8"/>
    <n v="73"/>
  </r>
  <r>
    <x v="1"/>
    <n v="17"/>
    <n v="12"/>
    <n v="28"/>
    <n v="9"/>
    <n v="66"/>
  </r>
  <r>
    <x v="2"/>
    <n v="34"/>
    <n v="18"/>
    <n v="70"/>
    <n v="17"/>
    <n v="13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35"/>
    <n v="27"/>
    <n v="195"/>
    <n v="151"/>
    <n v="408"/>
  </r>
  <r>
    <x v="1"/>
    <n v="46"/>
    <n v="36"/>
    <n v="177"/>
    <n v="137"/>
    <n v="396"/>
  </r>
  <r>
    <x v="2"/>
    <n v="81"/>
    <n v="63"/>
    <n v="372"/>
    <n v="288"/>
    <n v="8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BE8D6B-D255-4EDC-8B3C-906955E0F9E6}"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9:S12" firstHeaderRow="0" firstDataRow="1" firstDataCol="1"/>
  <pivotFields count="6">
    <pivotField axis="axisRow" showAll="0">
      <items count="4">
        <item x="0"/>
        <item x="1"/>
        <item h="1" x="2"/>
        <item t="default"/>
      </items>
    </pivotField>
    <pivotField dataField="1" showAll="0"/>
    <pivotField dataField="1" showAll="0"/>
    <pivotField dataField="1" showAll="0"/>
    <pivotField dataField="1" showAll="0"/>
    <pivotField showAll="0"/>
  </pivotFields>
  <rowFields count="1">
    <field x="0"/>
  </rowFields>
  <rowItems count="3">
    <i>
      <x/>
    </i>
    <i>
      <x v="1"/>
    </i>
    <i t="grand">
      <x/>
    </i>
  </rowItems>
  <colFields count="1">
    <field x="-2"/>
  </colFields>
  <colItems count="4">
    <i>
      <x/>
    </i>
    <i i="1">
      <x v="1"/>
    </i>
    <i i="2">
      <x v="2"/>
    </i>
    <i i="3">
      <x v="3"/>
    </i>
  </colItems>
  <dataFields count="4">
    <dataField name="Children" fld="1" baseField="0" baseItem="0"/>
    <dataField name="Teens" fld="2" baseField="0" baseItem="0"/>
    <dataField name="Adults" fld="3" baseField="0" baseItem="0"/>
    <dataField name="Seniors"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9D0F8C-246B-496C-A03A-DE15FEA5652F}"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H9:L12" firstHeaderRow="0" firstDataRow="1" firstDataCol="1"/>
  <pivotFields count="6">
    <pivotField axis="axisRow" showAll="0">
      <items count="4">
        <item x="0"/>
        <item x="1"/>
        <item h="1" x="2"/>
        <item t="default"/>
      </items>
    </pivotField>
    <pivotField dataField="1" showAll="0"/>
    <pivotField dataField="1" showAll="0"/>
    <pivotField dataField="1" showAll="0"/>
    <pivotField dataField="1" showAll="0"/>
    <pivotField showAll="0"/>
  </pivotFields>
  <rowFields count="1">
    <field x="0"/>
  </rowFields>
  <rowItems count="3">
    <i>
      <x/>
    </i>
    <i>
      <x v="1"/>
    </i>
    <i t="grand">
      <x/>
    </i>
  </rowItems>
  <colFields count="1">
    <field x="-2"/>
  </colFields>
  <colItems count="4">
    <i>
      <x/>
    </i>
    <i i="1">
      <x v="1"/>
    </i>
    <i i="2">
      <x v="2"/>
    </i>
    <i i="3">
      <x v="3"/>
    </i>
  </colItems>
  <dataFields count="4">
    <dataField name="Children" fld="1" baseField="0" baseItem="0"/>
    <dataField name="Teens" fld="2" baseField="0" baseItem="0"/>
    <dataField name="Adults" fld="3" baseField="0" baseItem="0"/>
    <dataField name="Seniors"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E0C481-E3AC-46A5-994E-52C8173122E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9:E12" firstHeaderRow="0" firstDataRow="1" firstDataCol="1"/>
  <pivotFields count="6">
    <pivotField axis="axisRow" showAll="0">
      <items count="4">
        <item x="0"/>
        <item x="1"/>
        <item h="1" x="2"/>
        <item t="default"/>
      </items>
    </pivotField>
    <pivotField dataField="1" showAll="0"/>
    <pivotField dataField="1" showAll="0"/>
    <pivotField dataField="1" showAll="0"/>
    <pivotField dataField="1" showAll="0"/>
    <pivotField showAll="0"/>
  </pivotFields>
  <rowFields count="1">
    <field x="0"/>
  </rowFields>
  <rowItems count="3">
    <i>
      <x/>
    </i>
    <i>
      <x v="1"/>
    </i>
    <i t="grand">
      <x/>
    </i>
  </rowItems>
  <colFields count="1">
    <field x="-2"/>
  </colFields>
  <colItems count="4">
    <i>
      <x/>
    </i>
    <i i="1">
      <x v="1"/>
    </i>
    <i i="2">
      <x v="2"/>
    </i>
    <i i="3">
      <x v="3"/>
    </i>
  </colItems>
  <dataFields count="4">
    <dataField name="Sum of Child" fld="1" baseField="0" baseItem="0"/>
    <dataField name="Sum of Teen" fld="2" baseField="0" baseItem="0"/>
    <dataField name="Sum of Adult" fld="3" baseField="0" baseItem="0"/>
    <dataField name="Sum of Elderly"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ACD1A2-9BD3-4EA1-ACB2-88B500E815B8}"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24:E28" firstHeaderRow="1" firstDataRow="2" firstDataCol="1"/>
  <pivotFields count="15">
    <pivotField showAll="0"/>
    <pivotField showAll="0"/>
    <pivotField showAll="0">
      <items count="86">
        <item x="38"/>
        <item x="71"/>
        <item x="5"/>
        <item x="9"/>
        <item x="45"/>
        <item x="68"/>
        <item x="54"/>
        <item x="51"/>
        <item x="2"/>
        <item x="24"/>
        <item x="67"/>
        <item x="73"/>
        <item x="21"/>
        <item x="58"/>
        <item x="18"/>
        <item x="79"/>
        <item x="65"/>
        <item x="33"/>
        <item x="74"/>
        <item x="59"/>
        <item x="47"/>
        <item x="26"/>
        <item x="29"/>
        <item x="7"/>
        <item x="66"/>
        <item x="11"/>
        <item x="62"/>
        <item x="69"/>
        <item x="16"/>
        <item x="3"/>
        <item x="17"/>
        <item x="32"/>
        <item x="25"/>
        <item x="37"/>
        <item x="30"/>
        <item x="0"/>
        <item x="78"/>
        <item x="15"/>
        <item x="81"/>
        <item x="57"/>
        <item x="64"/>
        <item x="80"/>
        <item x="76"/>
        <item x="46"/>
        <item x="49"/>
        <item x="84"/>
        <item x="22"/>
        <item x="35"/>
        <item x="60"/>
        <item x="77"/>
        <item x="48"/>
        <item x="82"/>
        <item x="12"/>
        <item x="14"/>
        <item x="28"/>
        <item x="23"/>
        <item x="43"/>
        <item x="10"/>
        <item x="36"/>
        <item x="44"/>
        <item x="61"/>
        <item x="52"/>
        <item x="8"/>
        <item x="27"/>
        <item x="83"/>
        <item x="53"/>
        <item x="55"/>
        <item x="40"/>
        <item x="42"/>
        <item x="20"/>
        <item x="56"/>
        <item x="70"/>
        <item x="39"/>
        <item x="31"/>
        <item x="50"/>
        <item x="75"/>
        <item x="19"/>
        <item x="41"/>
        <item x="6"/>
        <item x="72"/>
        <item x="4"/>
        <item x="1"/>
        <item x="34"/>
        <item x="63"/>
        <item x="13"/>
        <item t="default"/>
      </items>
    </pivotField>
    <pivotField axis="axisRow" showAll="0">
      <items count="3">
        <item x="0"/>
        <item x="1"/>
        <item t="default"/>
      </items>
    </pivotField>
    <pivotField axis="axisCol" showAll="0">
      <items count="5">
        <item x="0"/>
        <item x="2"/>
        <item x="1"/>
        <item x="3"/>
        <item t="default"/>
      </items>
    </pivotField>
    <pivotField showAll="0"/>
    <pivotField showAll="0"/>
    <pivotField showAll="0"/>
    <pivotField dataField="1" showAll="0"/>
    <pivotField showAll="0"/>
    <pivotField showAll="0"/>
    <pivotField showAll="0"/>
    <pivotField showAll="0"/>
    <pivotField showAll="0"/>
    <pivotField showAll="0"/>
  </pivotFields>
  <rowFields count="1">
    <field x="3"/>
  </rowFields>
  <rowItems count="3">
    <i>
      <x/>
    </i>
    <i>
      <x v="1"/>
    </i>
    <i t="grand">
      <x/>
    </i>
  </rowItems>
  <colFields count="1">
    <field x="4"/>
  </colFields>
  <colItems count="4">
    <i>
      <x/>
    </i>
    <i>
      <x v="1"/>
    </i>
    <i>
      <x v="2"/>
    </i>
    <i>
      <x v="3"/>
    </i>
  </colItems>
  <dataFields count="1">
    <dataField name="Average of TG" fld="8" subtotal="average" baseField="3" baseItem="0"/>
  </dataFields>
  <chartFormats count="4">
    <chartFormat chart="4" format="0" series="1">
      <pivotArea type="data" outline="0" fieldPosition="0">
        <references count="2">
          <reference field="4294967294" count="1" selected="0">
            <x v="0"/>
          </reference>
          <reference field="4" count="1" selected="0">
            <x v="0"/>
          </reference>
        </references>
      </pivotArea>
    </chartFormat>
    <chartFormat chart="4" format="1" series="1">
      <pivotArea type="data" outline="0" fieldPosition="0">
        <references count="2">
          <reference field="4294967294" count="1" selected="0">
            <x v="0"/>
          </reference>
          <reference field="4" count="1" selected="0">
            <x v="1"/>
          </reference>
        </references>
      </pivotArea>
    </chartFormat>
    <chartFormat chart="4" format="2" series="1">
      <pivotArea type="data" outline="0" fieldPosition="0">
        <references count="2">
          <reference field="4294967294" count="1" selected="0">
            <x v="0"/>
          </reference>
          <reference field="4" count="1" selected="0">
            <x v="2"/>
          </reference>
        </references>
      </pivotArea>
    </chartFormat>
    <chartFormat chart="4" format="3" series="1">
      <pivotArea type="data" outline="0" fieldPosition="0">
        <references count="2">
          <reference field="4294967294" count="1" selected="0">
            <x v="0"/>
          </reference>
          <reference field="4" count="1" selected="0">
            <x v="3"/>
          </reference>
        </references>
      </pivotArea>
    </chartFormat>
  </chartFormats>
  <pivotTableStyleInfo name="PivotStyleLight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56FF3B-348B-4FEF-8320-C01F1559CC16}"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0">
  <location ref="A41:E45" firstHeaderRow="1" firstDataRow="2" firstDataCol="1"/>
  <pivotFields count="15">
    <pivotField showAll="0"/>
    <pivotField showAll="0"/>
    <pivotField showAll="0">
      <items count="86">
        <item x="38"/>
        <item x="71"/>
        <item x="5"/>
        <item x="9"/>
        <item x="45"/>
        <item x="68"/>
        <item x="54"/>
        <item x="51"/>
        <item x="2"/>
        <item x="24"/>
        <item x="67"/>
        <item x="73"/>
        <item x="21"/>
        <item x="58"/>
        <item x="18"/>
        <item x="79"/>
        <item x="65"/>
        <item x="33"/>
        <item x="74"/>
        <item x="59"/>
        <item x="47"/>
        <item x="26"/>
        <item x="29"/>
        <item x="7"/>
        <item x="66"/>
        <item x="11"/>
        <item x="62"/>
        <item x="69"/>
        <item x="16"/>
        <item x="3"/>
        <item x="17"/>
        <item x="32"/>
        <item x="25"/>
        <item x="37"/>
        <item x="30"/>
        <item x="0"/>
        <item x="78"/>
        <item x="15"/>
        <item x="81"/>
        <item x="57"/>
        <item x="64"/>
        <item x="80"/>
        <item x="76"/>
        <item x="46"/>
        <item x="49"/>
        <item x="84"/>
        <item x="22"/>
        <item x="35"/>
        <item x="60"/>
        <item x="77"/>
        <item x="48"/>
        <item x="82"/>
        <item x="12"/>
        <item x="14"/>
        <item x="28"/>
        <item x="23"/>
        <item x="43"/>
        <item x="10"/>
        <item x="36"/>
        <item x="44"/>
        <item x="61"/>
        <item x="52"/>
        <item x="8"/>
        <item x="27"/>
        <item x="83"/>
        <item x="53"/>
        <item x="55"/>
        <item x="40"/>
        <item x="42"/>
        <item x="20"/>
        <item x="56"/>
        <item x="70"/>
        <item x="39"/>
        <item x="31"/>
        <item x="50"/>
        <item x="75"/>
        <item x="19"/>
        <item x="41"/>
        <item x="6"/>
        <item x="72"/>
        <item x="4"/>
        <item x="1"/>
        <item x="34"/>
        <item x="63"/>
        <item x="13"/>
        <item t="default"/>
      </items>
    </pivotField>
    <pivotField axis="axisRow" showAll="0">
      <items count="3">
        <item x="0"/>
        <item x="1"/>
        <item t="default"/>
      </items>
    </pivotField>
    <pivotField axis="axisCol" showAll="0">
      <items count="5">
        <item x="0"/>
        <item x="2"/>
        <item x="1"/>
        <item x="3"/>
        <item t="default"/>
      </items>
    </pivotField>
    <pivotField showAll="0"/>
    <pivotField showAll="0"/>
    <pivotField showAll="0"/>
    <pivotField showAll="0"/>
    <pivotField showAll="0"/>
    <pivotField dataField="1" showAll="0"/>
    <pivotField showAll="0"/>
    <pivotField showAll="0"/>
    <pivotField showAll="0"/>
    <pivotField showAll="0"/>
  </pivotFields>
  <rowFields count="1">
    <field x="3"/>
  </rowFields>
  <rowItems count="3">
    <i>
      <x/>
    </i>
    <i>
      <x v="1"/>
    </i>
    <i t="grand">
      <x/>
    </i>
  </rowItems>
  <colFields count="1">
    <field x="4"/>
  </colFields>
  <colItems count="4">
    <i>
      <x/>
    </i>
    <i>
      <x v="1"/>
    </i>
    <i>
      <x v="2"/>
    </i>
    <i>
      <x v="3"/>
    </i>
  </colItems>
  <dataFields count="1">
    <dataField name="Average of Fasting_Insulin" fld="10" subtotal="average" baseField="3" baseItem="0"/>
  </dataFields>
  <chartFormats count="4">
    <chartFormat chart="8" format="0" series="1">
      <pivotArea type="data" outline="0" fieldPosition="0">
        <references count="2">
          <reference field="4294967294" count="1" selected="0">
            <x v="0"/>
          </reference>
          <reference field="4" count="1" selected="0">
            <x v="0"/>
          </reference>
        </references>
      </pivotArea>
    </chartFormat>
    <chartFormat chart="8" format="1" series="1">
      <pivotArea type="data" outline="0" fieldPosition="0">
        <references count="2">
          <reference field="4294967294" count="1" selected="0">
            <x v="0"/>
          </reference>
          <reference field="4" count="1" selected="0">
            <x v="1"/>
          </reference>
        </references>
      </pivotArea>
    </chartFormat>
    <chartFormat chart="8" format="2" series="1">
      <pivotArea type="data" outline="0" fieldPosition="0">
        <references count="2">
          <reference field="4294967294" count="1" selected="0">
            <x v="0"/>
          </reference>
          <reference field="4" count="1" selected="0">
            <x v="2"/>
          </reference>
        </references>
      </pivotArea>
    </chartFormat>
    <chartFormat chart="8" format="3" series="1">
      <pivotArea type="data" outline="0" fieldPosition="0">
        <references count="2">
          <reference field="4294967294" count="1" selected="0">
            <x v="0"/>
          </reference>
          <reference field="4" count="1" selected="0">
            <x v="3"/>
          </reference>
        </references>
      </pivotArea>
    </chartFormat>
  </chartFormat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E0BCB1-DB46-43D6-A4CD-B01695DD2F24}"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
  <location ref="A3:E7" firstHeaderRow="1" firstDataRow="2" firstDataCol="1"/>
  <pivotFields count="15">
    <pivotField showAll="0"/>
    <pivotField showAll="0"/>
    <pivotField showAll="0">
      <items count="86">
        <item x="38"/>
        <item x="71"/>
        <item x="5"/>
        <item x="9"/>
        <item x="45"/>
        <item x="68"/>
        <item x="54"/>
        <item x="51"/>
        <item x="2"/>
        <item x="24"/>
        <item x="67"/>
        <item x="73"/>
        <item x="21"/>
        <item x="58"/>
        <item x="18"/>
        <item x="79"/>
        <item x="65"/>
        <item x="33"/>
        <item x="74"/>
        <item x="59"/>
        <item x="47"/>
        <item x="26"/>
        <item x="29"/>
        <item x="7"/>
        <item x="66"/>
        <item x="11"/>
        <item x="62"/>
        <item x="69"/>
        <item x="16"/>
        <item x="3"/>
        <item x="17"/>
        <item x="32"/>
        <item x="25"/>
        <item x="37"/>
        <item x="30"/>
        <item x="0"/>
        <item x="78"/>
        <item x="15"/>
        <item x="81"/>
        <item x="57"/>
        <item x="64"/>
        <item x="80"/>
        <item x="76"/>
        <item x="46"/>
        <item x="49"/>
        <item x="84"/>
        <item x="22"/>
        <item x="35"/>
        <item x="60"/>
        <item x="77"/>
        <item x="48"/>
        <item x="82"/>
        <item x="12"/>
        <item x="14"/>
        <item x="28"/>
        <item x="23"/>
        <item x="43"/>
        <item x="10"/>
        <item x="36"/>
        <item x="44"/>
        <item x="61"/>
        <item x="52"/>
        <item x="8"/>
        <item x="27"/>
        <item x="83"/>
        <item x="53"/>
        <item x="55"/>
        <item x="40"/>
        <item x="42"/>
        <item x="20"/>
        <item x="56"/>
        <item x="70"/>
        <item x="39"/>
        <item x="31"/>
        <item x="50"/>
        <item x="75"/>
        <item x="19"/>
        <item x="41"/>
        <item x="6"/>
        <item x="72"/>
        <item x="4"/>
        <item x="1"/>
        <item x="34"/>
        <item x="63"/>
        <item x="13"/>
        <item t="default"/>
      </items>
    </pivotField>
    <pivotField axis="axisRow" showAll="0">
      <items count="3">
        <item x="0"/>
        <item x="1"/>
        <item t="default"/>
      </items>
    </pivotField>
    <pivotField axis="axisCol" showAll="0">
      <items count="5">
        <item x="0"/>
        <item x="2"/>
        <item x="1"/>
        <item x="3"/>
        <item t="default"/>
      </items>
    </pivotField>
    <pivotField dataField="1"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4"/>
  </colFields>
  <colItems count="4">
    <i>
      <x/>
    </i>
    <i>
      <x v="1"/>
    </i>
    <i>
      <x v="2"/>
    </i>
    <i>
      <x v="3"/>
    </i>
  </colItems>
  <dataFields count="1">
    <dataField name="Average of HbA1c" fld="5" subtotal="average" baseField="3"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ABA77DD-6E7F-449C-B15F-3625C66C7B37}"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A48:E52" firstHeaderRow="1" firstDataRow="2" firstDataCol="1"/>
  <pivotFields count="15">
    <pivotField showAll="0"/>
    <pivotField showAll="0"/>
    <pivotField showAll="0">
      <items count="86">
        <item x="38"/>
        <item x="71"/>
        <item x="5"/>
        <item x="9"/>
        <item x="45"/>
        <item x="68"/>
        <item x="54"/>
        <item x="51"/>
        <item x="2"/>
        <item x="24"/>
        <item x="67"/>
        <item x="73"/>
        <item x="21"/>
        <item x="58"/>
        <item x="18"/>
        <item x="79"/>
        <item x="65"/>
        <item x="33"/>
        <item x="74"/>
        <item x="59"/>
        <item x="47"/>
        <item x="26"/>
        <item x="29"/>
        <item x="7"/>
        <item x="66"/>
        <item x="11"/>
        <item x="62"/>
        <item x="69"/>
        <item x="16"/>
        <item x="3"/>
        <item x="17"/>
        <item x="32"/>
        <item x="25"/>
        <item x="37"/>
        <item x="30"/>
        <item x="0"/>
        <item x="78"/>
        <item x="15"/>
        <item x="81"/>
        <item x="57"/>
        <item x="64"/>
        <item x="80"/>
        <item x="76"/>
        <item x="46"/>
        <item x="49"/>
        <item x="84"/>
        <item x="22"/>
        <item x="35"/>
        <item x="60"/>
        <item x="77"/>
        <item x="48"/>
        <item x="82"/>
        <item x="12"/>
        <item x="14"/>
        <item x="28"/>
        <item x="23"/>
        <item x="43"/>
        <item x="10"/>
        <item x="36"/>
        <item x="44"/>
        <item x="61"/>
        <item x="52"/>
        <item x="8"/>
        <item x="27"/>
        <item x="83"/>
        <item x="53"/>
        <item x="55"/>
        <item x="40"/>
        <item x="42"/>
        <item x="20"/>
        <item x="56"/>
        <item x="70"/>
        <item x="39"/>
        <item x="31"/>
        <item x="50"/>
        <item x="75"/>
        <item x="19"/>
        <item x="41"/>
        <item x="6"/>
        <item x="72"/>
        <item x="4"/>
        <item x="1"/>
        <item x="34"/>
        <item x="63"/>
        <item x="13"/>
        <item t="default"/>
      </items>
    </pivotField>
    <pivotField axis="axisRow" showAll="0">
      <items count="3">
        <item x="0"/>
        <item x="1"/>
        <item t="default"/>
      </items>
    </pivotField>
    <pivotField axis="axisCol" showAll="0">
      <items count="5">
        <item x="0"/>
        <item x="2"/>
        <item x="1"/>
        <item x="3"/>
        <item t="default"/>
      </items>
    </pivotField>
    <pivotField showAll="0"/>
    <pivotField showAll="0"/>
    <pivotField showAll="0"/>
    <pivotField showAll="0"/>
    <pivotField showAll="0"/>
    <pivotField showAll="0"/>
    <pivotField dataField="1" showAll="0"/>
    <pivotField showAll="0"/>
    <pivotField showAll="0"/>
    <pivotField showAll="0"/>
  </pivotFields>
  <rowFields count="1">
    <field x="3"/>
  </rowFields>
  <rowItems count="3">
    <i>
      <x/>
    </i>
    <i>
      <x v="1"/>
    </i>
    <i t="grand">
      <x/>
    </i>
  </rowItems>
  <colFields count="1">
    <field x="4"/>
  </colFields>
  <colItems count="4">
    <i>
      <x/>
    </i>
    <i>
      <x v="1"/>
    </i>
    <i>
      <x v="2"/>
    </i>
    <i>
      <x v="3"/>
    </i>
  </colItems>
  <dataFields count="1">
    <dataField name="Average of HOMA_IR" fld="11" subtotal="average" baseField="3" baseItem="0"/>
  </dataFields>
  <chartFormats count="4">
    <chartFormat chart="10" format="0" series="1">
      <pivotArea type="data" outline="0" fieldPosition="0">
        <references count="2">
          <reference field="4294967294" count="1" selected="0">
            <x v="0"/>
          </reference>
          <reference field="4" count="1" selected="0">
            <x v="0"/>
          </reference>
        </references>
      </pivotArea>
    </chartFormat>
    <chartFormat chart="10" format="1" series="1">
      <pivotArea type="data" outline="0" fieldPosition="0">
        <references count="2">
          <reference field="4294967294" count="1" selected="0">
            <x v="0"/>
          </reference>
          <reference field="4" count="1" selected="0">
            <x v="1"/>
          </reference>
        </references>
      </pivotArea>
    </chartFormat>
    <chartFormat chart="10" format="2" series="1">
      <pivotArea type="data" outline="0" fieldPosition="0">
        <references count="2">
          <reference field="4294967294" count="1" selected="0">
            <x v="0"/>
          </reference>
          <reference field="4" count="1" selected="0">
            <x v="2"/>
          </reference>
        </references>
      </pivotArea>
    </chartFormat>
    <chartFormat chart="10" format="3" series="1">
      <pivotArea type="data" outline="0" fieldPosition="0">
        <references count="2">
          <reference field="4294967294" count="1" selected="0">
            <x v="0"/>
          </reference>
          <reference field="4" count="1" selected="0">
            <x v="3"/>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A424C0-442F-4F06-9AD6-0171F260A7E5}"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32:E36" firstHeaderRow="1" firstDataRow="2" firstDataCol="1"/>
  <pivotFields count="15">
    <pivotField showAll="0"/>
    <pivotField showAll="0"/>
    <pivotField showAll="0">
      <items count="86">
        <item x="38"/>
        <item x="71"/>
        <item x="5"/>
        <item x="9"/>
        <item x="45"/>
        <item x="68"/>
        <item x="54"/>
        <item x="51"/>
        <item x="2"/>
        <item x="24"/>
        <item x="67"/>
        <item x="73"/>
        <item x="21"/>
        <item x="58"/>
        <item x="18"/>
        <item x="79"/>
        <item x="65"/>
        <item x="33"/>
        <item x="74"/>
        <item x="59"/>
        <item x="47"/>
        <item x="26"/>
        <item x="29"/>
        <item x="7"/>
        <item x="66"/>
        <item x="11"/>
        <item x="62"/>
        <item x="69"/>
        <item x="16"/>
        <item x="3"/>
        <item x="17"/>
        <item x="32"/>
        <item x="25"/>
        <item x="37"/>
        <item x="30"/>
        <item x="0"/>
        <item x="78"/>
        <item x="15"/>
        <item x="81"/>
        <item x="57"/>
        <item x="64"/>
        <item x="80"/>
        <item x="76"/>
        <item x="46"/>
        <item x="49"/>
        <item x="84"/>
        <item x="22"/>
        <item x="35"/>
        <item x="60"/>
        <item x="77"/>
        <item x="48"/>
        <item x="82"/>
        <item x="12"/>
        <item x="14"/>
        <item x="28"/>
        <item x="23"/>
        <item x="43"/>
        <item x="10"/>
        <item x="36"/>
        <item x="44"/>
        <item x="61"/>
        <item x="52"/>
        <item x="8"/>
        <item x="27"/>
        <item x="83"/>
        <item x="53"/>
        <item x="55"/>
        <item x="40"/>
        <item x="42"/>
        <item x="20"/>
        <item x="56"/>
        <item x="70"/>
        <item x="39"/>
        <item x="31"/>
        <item x="50"/>
        <item x="75"/>
        <item x="19"/>
        <item x="41"/>
        <item x="6"/>
        <item x="72"/>
        <item x="4"/>
        <item x="1"/>
        <item x="34"/>
        <item x="63"/>
        <item x="13"/>
        <item t="default"/>
      </items>
    </pivotField>
    <pivotField axis="axisRow" showAll="0">
      <items count="3">
        <item x="0"/>
        <item x="1"/>
        <item t="default"/>
      </items>
    </pivotField>
    <pivotField axis="axisCol" showAll="0">
      <items count="5">
        <item x="0"/>
        <item x="2"/>
        <item x="1"/>
        <item x="3"/>
        <item t="default"/>
      </items>
    </pivotField>
    <pivotField showAll="0"/>
    <pivotField showAll="0"/>
    <pivotField showAll="0"/>
    <pivotField showAll="0"/>
    <pivotField dataField="1" showAll="0"/>
    <pivotField showAll="0"/>
    <pivotField showAll="0"/>
    <pivotField showAll="0"/>
    <pivotField showAll="0"/>
    <pivotField showAll="0"/>
  </pivotFields>
  <rowFields count="1">
    <field x="3"/>
  </rowFields>
  <rowItems count="3">
    <i>
      <x/>
    </i>
    <i>
      <x v="1"/>
    </i>
    <i t="grand">
      <x/>
    </i>
  </rowItems>
  <colFields count="1">
    <field x="4"/>
  </colFields>
  <colItems count="4">
    <i>
      <x/>
    </i>
    <i>
      <x v="1"/>
    </i>
    <i>
      <x v="2"/>
    </i>
    <i>
      <x v="3"/>
    </i>
  </colItems>
  <dataFields count="1">
    <dataField name="Average of TG_HDL_Ratio" fld="9" subtotal="average" baseField="3" baseItem="0"/>
  </dataFields>
  <chartFormats count="4">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 chart="6" format="2" series="1">
      <pivotArea type="data" outline="0" fieldPosition="0">
        <references count="2">
          <reference field="4294967294" count="1" selected="0">
            <x v="0"/>
          </reference>
          <reference field="4" count="1" selected="0">
            <x v="2"/>
          </reference>
        </references>
      </pivotArea>
    </chartFormat>
    <chartFormat chart="6" format="3" series="1">
      <pivotArea type="data" outline="0" fieldPosition="0">
        <references count="2">
          <reference field="4294967294" count="1" selected="0">
            <x v="0"/>
          </reference>
          <reference field="4" count="1" selected="0">
            <x v="3"/>
          </reference>
        </references>
      </pivotArea>
    </chartFormat>
  </chartFormats>
  <pivotTableStyleInfo name="PivotStyleLight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FE9114-2A77-4405-B2C5-0457D462C0F4}"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B2:AF6" firstHeaderRow="1" firstDataRow="2" firstDataCol="1"/>
  <pivotFields count="15">
    <pivotField showAll="0"/>
    <pivotField showAll="0"/>
    <pivotField showAll="0">
      <items count="86">
        <item x="38"/>
        <item x="71"/>
        <item x="5"/>
        <item x="9"/>
        <item x="45"/>
        <item x="68"/>
        <item x="54"/>
        <item x="51"/>
        <item x="2"/>
        <item x="24"/>
        <item x="67"/>
        <item x="73"/>
        <item x="21"/>
        <item x="58"/>
        <item x="18"/>
        <item x="79"/>
        <item x="65"/>
        <item x="33"/>
        <item x="74"/>
        <item x="59"/>
        <item x="47"/>
        <item x="26"/>
        <item x="29"/>
        <item x="7"/>
        <item x="66"/>
        <item x="11"/>
        <item x="62"/>
        <item x="69"/>
        <item x="16"/>
        <item x="3"/>
        <item x="17"/>
        <item x="32"/>
        <item x="25"/>
        <item x="37"/>
        <item x="30"/>
        <item x="0"/>
        <item x="78"/>
        <item x="15"/>
        <item x="81"/>
        <item x="57"/>
        <item x="64"/>
        <item x="80"/>
        <item x="76"/>
        <item x="46"/>
        <item x="49"/>
        <item x="84"/>
        <item x="22"/>
        <item x="35"/>
        <item x="60"/>
        <item x="77"/>
        <item x="48"/>
        <item x="82"/>
        <item x="12"/>
        <item x="14"/>
        <item x="28"/>
        <item x="23"/>
        <item x="43"/>
        <item x="10"/>
        <item x="36"/>
        <item x="44"/>
        <item x="61"/>
        <item x="52"/>
        <item x="8"/>
        <item x="27"/>
        <item x="83"/>
        <item x="53"/>
        <item x="55"/>
        <item x="40"/>
        <item x="42"/>
        <item x="20"/>
        <item x="56"/>
        <item x="70"/>
        <item x="39"/>
        <item x="31"/>
        <item x="50"/>
        <item x="75"/>
        <item x="19"/>
        <item x="41"/>
        <item x="6"/>
        <item x="72"/>
        <item x="4"/>
        <item x="1"/>
        <item x="34"/>
        <item x="63"/>
        <item x="13"/>
        <item t="default"/>
      </items>
    </pivotField>
    <pivotField axis="axisRow" showAll="0">
      <items count="3">
        <item x="0"/>
        <item x="1"/>
        <item t="default"/>
      </items>
    </pivotField>
    <pivotField axis="axisCol" showAll="0">
      <items count="5">
        <item x="0"/>
        <item x="2"/>
        <item x="1"/>
        <item x="3"/>
        <item t="default"/>
      </items>
    </pivotField>
    <pivotField showAll="0"/>
    <pivotField showAll="0"/>
    <pivotField showAll="0"/>
    <pivotField showAll="0"/>
    <pivotField showAll="0"/>
    <pivotField showAll="0"/>
    <pivotField showAll="0"/>
    <pivotField dataField="1" showAll="0"/>
    <pivotField showAll="0"/>
    <pivotField showAll="0"/>
  </pivotFields>
  <rowFields count="1">
    <field x="3"/>
  </rowFields>
  <rowItems count="3">
    <i>
      <x/>
    </i>
    <i>
      <x v="1"/>
    </i>
    <i t="grand">
      <x/>
    </i>
  </rowItems>
  <colFields count="1">
    <field x="4"/>
  </colFields>
  <colItems count="4">
    <i>
      <x/>
    </i>
    <i>
      <x v="1"/>
    </i>
    <i>
      <x v="2"/>
    </i>
    <i>
      <x v="3"/>
    </i>
  </colItems>
  <dataFields count="1">
    <dataField name="Sum of Diabetic" fld="12" baseField="0" baseItem="0"/>
  </dataFields>
  <chartFormats count="4">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01BBD8-84D9-4168-AA05-91C77E88AFE1}"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17:E21" firstHeaderRow="1" firstDataRow="2" firstDataCol="1"/>
  <pivotFields count="15">
    <pivotField showAll="0"/>
    <pivotField showAll="0"/>
    <pivotField showAll="0">
      <items count="86">
        <item x="38"/>
        <item x="71"/>
        <item x="5"/>
        <item x="9"/>
        <item x="45"/>
        <item x="68"/>
        <item x="54"/>
        <item x="51"/>
        <item x="2"/>
        <item x="24"/>
        <item x="67"/>
        <item x="73"/>
        <item x="21"/>
        <item x="58"/>
        <item x="18"/>
        <item x="79"/>
        <item x="65"/>
        <item x="33"/>
        <item x="74"/>
        <item x="59"/>
        <item x="47"/>
        <item x="26"/>
        <item x="29"/>
        <item x="7"/>
        <item x="66"/>
        <item x="11"/>
        <item x="62"/>
        <item x="69"/>
        <item x="16"/>
        <item x="3"/>
        <item x="17"/>
        <item x="32"/>
        <item x="25"/>
        <item x="37"/>
        <item x="30"/>
        <item x="0"/>
        <item x="78"/>
        <item x="15"/>
        <item x="81"/>
        <item x="57"/>
        <item x="64"/>
        <item x="80"/>
        <item x="76"/>
        <item x="46"/>
        <item x="49"/>
        <item x="84"/>
        <item x="22"/>
        <item x="35"/>
        <item x="60"/>
        <item x="77"/>
        <item x="48"/>
        <item x="82"/>
        <item x="12"/>
        <item x="14"/>
        <item x="28"/>
        <item x="23"/>
        <item x="43"/>
        <item x="10"/>
        <item x="36"/>
        <item x="44"/>
        <item x="61"/>
        <item x="52"/>
        <item x="8"/>
        <item x="27"/>
        <item x="83"/>
        <item x="53"/>
        <item x="55"/>
        <item x="40"/>
        <item x="42"/>
        <item x="20"/>
        <item x="56"/>
        <item x="70"/>
        <item x="39"/>
        <item x="31"/>
        <item x="50"/>
        <item x="75"/>
        <item x="19"/>
        <item x="41"/>
        <item x="6"/>
        <item x="72"/>
        <item x="4"/>
        <item x="1"/>
        <item x="34"/>
        <item x="63"/>
        <item x="13"/>
        <item t="default"/>
      </items>
    </pivotField>
    <pivotField axis="axisRow" showAll="0">
      <items count="3">
        <item x="0"/>
        <item x="1"/>
        <item t="default"/>
      </items>
    </pivotField>
    <pivotField axis="axisCol" showAll="0">
      <items count="5">
        <item x="0"/>
        <item x="2"/>
        <item x="1"/>
        <item x="3"/>
        <item t="default"/>
      </items>
    </pivotField>
    <pivotField showAll="0"/>
    <pivotField showAll="0"/>
    <pivotField dataField="1" showAll="0"/>
    <pivotField showAll="0"/>
    <pivotField showAll="0"/>
    <pivotField showAll="0"/>
    <pivotField showAll="0"/>
    <pivotField showAll="0"/>
    <pivotField showAll="0"/>
    <pivotField showAll="0"/>
  </pivotFields>
  <rowFields count="1">
    <field x="3"/>
  </rowFields>
  <rowItems count="3">
    <i>
      <x/>
    </i>
    <i>
      <x v="1"/>
    </i>
    <i t="grand">
      <x/>
    </i>
  </rowItems>
  <colFields count="1">
    <field x="4"/>
  </colFields>
  <colItems count="4">
    <i>
      <x/>
    </i>
    <i>
      <x v="1"/>
    </i>
    <i>
      <x v="2"/>
    </i>
    <i>
      <x v="3"/>
    </i>
  </colItems>
  <dataFields count="1">
    <dataField name="Average of LDL" fld="7" subtotal="average" baseField="3" baseItem="0"/>
  </dataFields>
  <chartFormats count="4">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s>
  <pivotTableStyleInfo name="PivotStyleLight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45A86AF-D437-4710-B350-7EE8807882FD}"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
  <location ref="AB11:AF15" firstHeaderRow="1" firstDataRow="2" firstDataCol="1"/>
  <pivotFields count="15">
    <pivotField showAll="0"/>
    <pivotField showAll="0"/>
    <pivotField showAll="0">
      <items count="86">
        <item x="38"/>
        <item x="71"/>
        <item x="5"/>
        <item x="9"/>
        <item x="45"/>
        <item x="68"/>
        <item x="54"/>
        <item x="51"/>
        <item x="2"/>
        <item x="24"/>
        <item x="67"/>
        <item x="73"/>
        <item x="21"/>
        <item x="58"/>
        <item x="18"/>
        <item x="79"/>
        <item x="65"/>
        <item x="33"/>
        <item x="74"/>
        <item x="59"/>
        <item x="47"/>
        <item x="26"/>
        <item x="29"/>
        <item x="7"/>
        <item x="66"/>
        <item x="11"/>
        <item x="62"/>
        <item x="69"/>
        <item x="16"/>
        <item x="3"/>
        <item x="17"/>
        <item x="32"/>
        <item x="25"/>
        <item x="37"/>
        <item x="30"/>
        <item x="0"/>
        <item x="78"/>
        <item x="15"/>
        <item x="81"/>
        <item x="57"/>
        <item x="64"/>
        <item x="80"/>
        <item x="76"/>
        <item x="46"/>
        <item x="49"/>
        <item x="84"/>
        <item x="22"/>
        <item x="35"/>
        <item x="60"/>
        <item x="77"/>
        <item x="48"/>
        <item x="82"/>
        <item x="12"/>
        <item x="14"/>
        <item x="28"/>
        <item x="23"/>
        <item x="43"/>
        <item x="10"/>
        <item x="36"/>
        <item x="44"/>
        <item x="61"/>
        <item x="52"/>
        <item x="8"/>
        <item x="27"/>
        <item x="83"/>
        <item x="53"/>
        <item x="55"/>
        <item x="40"/>
        <item x="42"/>
        <item x="20"/>
        <item x="56"/>
        <item x="70"/>
        <item x="39"/>
        <item x="31"/>
        <item x="50"/>
        <item x="75"/>
        <item x="19"/>
        <item x="41"/>
        <item x="6"/>
        <item x="72"/>
        <item x="4"/>
        <item x="1"/>
        <item x="34"/>
        <item x="63"/>
        <item x="13"/>
        <item t="default"/>
      </items>
    </pivotField>
    <pivotField axis="axisRow" showAll="0">
      <items count="3">
        <item x="0"/>
        <item x="1"/>
        <item t="default"/>
      </items>
    </pivotField>
    <pivotField axis="axisCol" showAll="0">
      <items count="5">
        <item x="0"/>
        <item x="2"/>
        <item x="1"/>
        <item x="3"/>
        <item t="default"/>
      </items>
    </pivotField>
    <pivotField showAll="0"/>
    <pivotField showAll="0"/>
    <pivotField showAll="0"/>
    <pivotField showAll="0"/>
    <pivotField showAll="0"/>
    <pivotField showAll="0"/>
    <pivotField showAll="0"/>
    <pivotField showAll="0"/>
    <pivotField dataField="1" showAll="0"/>
    <pivotField showAll="0"/>
  </pivotFields>
  <rowFields count="1">
    <field x="3"/>
  </rowFields>
  <rowItems count="3">
    <i>
      <x/>
    </i>
    <i>
      <x v="1"/>
    </i>
    <i t="grand">
      <x/>
    </i>
  </rowItems>
  <colFields count="1">
    <field x="4"/>
  </colFields>
  <colItems count="4">
    <i>
      <x/>
    </i>
    <i>
      <x v="1"/>
    </i>
    <i>
      <x v="2"/>
    </i>
    <i>
      <x v="3"/>
    </i>
  </colItems>
  <dataFields count="1">
    <dataField name="Sum of Insulin_Resistant" fld="13" baseField="0" baseItem="0"/>
  </dataFields>
  <chartFormats count="4">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A0238D-F24F-462C-9EB4-FE734460F1CD}"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
  <location ref="A10:E14" firstHeaderRow="1" firstDataRow="2" firstDataCol="1"/>
  <pivotFields count="15">
    <pivotField showAll="0"/>
    <pivotField showAll="0"/>
    <pivotField showAll="0">
      <items count="86">
        <item x="38"/>
        <item x="71"/>
        <item x="5"/>
        <item x="9"/>
        <item x="45"/>
        <item x="68"/>
        <item x="54"/>
        <item x="51"/>
        <item x="2"/>
        <item x="24"/>
        <item x="67"/>
        <item x="73"/>
        <item x="21"/>
        <item x="58"/>
        <item x="18"/>
        <item x="79"/>
        <item x="65"/>
        <item x="33"/>
        <item x="74"/>
        <item x="59"/>
        <item x="47"/>
        <item x="26"/>
        <item x="29"/>
        <item x="7"/>
        <item x="66"/>
        <item x="11"/>
        <item x="62"/>
        <item x="69"/>
        <item x="16"/>
        <item x="3"/>
        <item x="17"/>
        <item x="32"/>
        <item x="25"/>
        <item x="37"/>
        <item x="30"/>
        <item x="0"/>
        <item x="78"/>
        <item x="15"/>
        <item x="81"/>
        <item x="57"/>
        <item x="64"/>
        <item x="80"/>
        <item x="76"/>
        <item x="46"/>
        <item x="49"/>
        <item x="84"/>
        <item x="22"/>
        <item x="35"/>
        <item x="60"/>
        <item x="77"/>
        <item x="48"/>
        <item x="82"/>
        <item x="12"/>
        <item x="14"/>
        <item x="28"/>
        <item x="23"/>
        <item x="43"/>
        <item x="10"/>
        <item x="36"/>
        <item x="44"/>
        <item x="61"/>
        <item x="52"/>
        <item x="8"/>
        <item x="27"/>
        <item x="83"/>
        <item x="53"/>
        <item x="55"/>
        <item x="40"/>
        <item x="42"/>
        <item x="20"/>
        <item x="56"/>
        <item x="70"/>
        <item x="39"/>
        <item x="31"/>
        <item x="50"/>
        <item x="75"/>
        <item x="19"/>
        <item x="41"/>
        <item x="6"/>
        <item x="72"/>
        <item x="4"/>
        <item x="1"/>
        <item x="34"/>
        <item x="63"/>
        <item x="13"/>
        <item t="default"/>
      </items>
    </pivotField>
    <pivotField axis="axisRow" showAll="0">
      <items count="3">
        <item x="0"/>
        <item x="1"/>
        <item t="default"/>
      </items>
    </pivotField>
    <pivotField axis="axisCol" showAll="0">
      <items count="5">
        <item x="0"/>
        <item x="2"/>
        <item x="1"/>
        <item x="3"/>
        <item t="default"/>
      </items>
    </pivotField>
    <pivotField showAll="0"/>
    <pivotField dataField="1" showAll="0"/>
    <pivotField showAll="0"/>
    <pivotField showAll="0"/>
    <pivotField showAll="0"/>
    <pivotField showAll="0"/>
    <pivotField showAll="0"/>
    <pivotField showAll="0"/>
    <pivotField showAll="0"/>
    <pivotField showAll="0"/>
  </pivotFields>
  <rowFields count="1">
    <field x="3"/>
  </rowFields>
  <rowItems count="3">
    <i>
      <x/>
    </i>
    <i>
      <x v="1"/>
    </i>
    <i t="grand">
      <x/>
    </i>
  </rowItems>
  <colFields count="1">
    <field x="4"/>
  </colFields>
  <colItems count="4">
    <i>
      <x/>
    </i>
    <i>
      <x v="1"/>
    </i>
    <i>
      <x v="2"/>
    </i>
    <i>
      <x v="3"/>
    </i>
  </colItems>
  <dataFields count="1">
    <dataField name="Average of HDL" fld="6" subtotal="average" baseField="3"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093825-E957-40D7-8A2F-48E61C004E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F17" firstHeaderRow="1" firstDataRow="2" firstDataCol="1" rowPageCount="1" colPageCount="1"/>
  <pivotFields count="15">
    <pivotField showAll="0"/>
    <pivotField showAll="0"/>
    <pivotField showAll="0"/>
    <pivotField axis="axisPage" dataField="1" multipleItemSelectionAllowed="1" showAll="0">
      <items count="3">
        <item x="0"/>
        <item h="1" x="1"/>
        <item t="default"/>
      </items>
    </pivotField>
    <pivotField axis="axisCol" showAll="0">
      <items count="5">
        <item x="0"/>
        <item x="2"/>
        <item x="1"/>
        <item x="3"/>
        <item t="default"/>
      </items>
    </pivotField>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4"/>
  </rowFields>
  <rowItems count="4">
    <i>
      <x/>
    </i>
    <i>
      <x v="1"/>
    </i>
    <i>
      <x v="2"/>
    </i>
    <i t="grand">
      <x/>
    </i>
  </rowItems>
  <colFields count="1">
    <field x="4"/>
  </colFields>
  <colItems count="5">
    <i>
      <x/>
    </i>
    <i>
      <x v="1"/>
    </i>
    <i>
      <x v="2"/>
    </i>
    <i>
      <x v="3"/>
    </i>
    <i t="grand">
      <x/>
    </i>
  </colItems>
  <pageFields count="1">
    <pageField fld="3" hier="-1"/>
  </pageFields>
  <dataFields count="1">
    <dataField name="Count of Gender" fld="3" subtotal="count" baseField="0" baseItem="0"/>
  </dataField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2" format="0" series="1">
      <pivotArea type="data" outline="0" fieldPosition="0">
        <references count="2">
          <reference field="4294967294" count="1" selected="0">
            <x v="0"/>
          </reference>
          <reference field="4" count="1" selected="0">
            <x v="0"/>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2"/>
          </reference>
        </references>
      </pivotArea>
    </chartFormat>
    <chartFormat chart="2"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CD95A23-6EBF-4D62-9DE6-C73A97EBA04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8" firstHeaderRow="1" firstDataRow="2" firstDataCol="1" rowPageCount="1" colPageCount="1"/>
  <pivotFields count="15">
    <pivotField showAll="0"/>
    <pivotField showAll="0"/>
    <pivotField showAll="0"/>
    <pivotField axis="axisPage" dataField="1" multipleItemSelectionAllowed="1" showAll="0">
      <items count="3">
        <item h="1" x="0"/>
        <item x="1"/>
        <item t="default"/>
      </items>
    </pivotField>
    <pivotField axis="axisCol" showAll="0">
      <items count="5">
        <item x="0"/>
        <item x="2"/>
        <item x="1"/>
        <item x="3"/>
        <item t="default"/>
      </items>
    </pivotField>
    <pivotField showAll="0"/>
    <pivotField showAll="0"/>
    <pivotField showAll="0"/>
    <pivotField showAll="0"/>
    <pivotField showAll="0"/>
    <pivotField showAll="0"/>
    <pivotField showAll="0"/>
    <pivotField showAll="0"/>
    <pivotField showAll="0"/>
    <pivotField axis="axisRow" showAll="0">
      <items count="4">
        <item x="1"/>
        <item x="2"/>
        <item x="0"/>
        <item t="default"/>
      </items>
    </pivotField>
  </pivotFields>
  <rowFields count="1">
    <field x="14"/>
  </rowFields>
  <rowItems count="4">
    <i>
      <x/>
    </i>
    <i>
      <x v="1"/>
    </i>
    <i>
      <x v="2"/>
    </i>
    <i t="grand">
      <x/>
    </i>
  </rowItems>
  <colFields count="1">
    <field x="4"/>
  </colFields>
  <colItems count="5">
    <i>
      <x/>
    </i>
    <i>
      <x v="1"/>
    </i>
    <i>
      <x v="2"/>
    </i>
    <i>
      <x v="3"/>
    </i>
    <i t="grand">
      <x/>
    </i>
  </colItems>
  <pageFields count="1">
    <pageField fld="3" hier="-1"/>
  </pageFields>
  <dataFields count="1">
    <dataField name="Count of Gender" fld="3" subtotal="count"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75A494-8A64-4AB4-A68C-0E625B0D0876}" name="Table1" displayName="Table1" ref="A4:F7" totalsRowShown="0">
  <autoFilter ref="A4:F7" xr:uid="{3475A494-8A64-4AB4-A68C-0E625B0D0876}"/>
  <tableColumns count="6">
    <tableColumn id="1" xr3:uid="{064EEAD3-3222-4DD8-81BC-DC37C0EA08DF}" name="Gender/ Age group"/>
    <tableColumn id="2" xr3:uid="{9F5F05D1-0892-4F42-8D0D-765C269F07C4}" name="Child"/>
    <tableColumn id="3" xr3:uid="{3F6BBA4B-52AB-4513-9D5B-62C5E3217CFB}" name="Teen"/>
    <tableColumn id="4" xr3:uid="{27AF628C-8725-4B16-B721-61C257017646}" name="Adult"/>
    <tableColumn id="5" xr3:uid="{97BE6B0D-97B4-4A07-86DC-08492E69B2A2}" name="Elderly"/>
    <tableColumn id="6" xr3:uid="{BD61ECCA-F768-4C11-8608-4CF8A8878FE9}" name="Tot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D29A806-F4F6-4F17-AE91-FBBF37148865}" name="Table2" displayName="Table2" ref="H4:M7" totalsRowShown="0">
  <autoFilter ref="H4:M7" xr:uid="{ED29A806-F4F6-4F17-AE91-FBBF37148865}"/>
  <tableColumns count="6">
    <tableColumn id="1" xr3:uid="{15EBF514-1A4C-4F2C-A3B0-12E806F982E5}" name="Gender/ Age group"/>
    <tableColumn id="2" xr3:uid="{732A9CDC-EDA2-462A-9E6A-109B8F20ABFD}" name="Child"/>
    <tableColumn id="3" xr3:uid="{4B222166-CC16-4DA0-A380-A3F48152106D}" name="Teen"/>
    <tableColumn id="4" xr3:uid="{19B3305D-AEF8-4B75-BDDF-24D35CAA011A}" name="Adult"/>
    <tableColumn id="5" xr3:uid="{D00AD88C-23A4-43CA-9011-A4B62CA1E1C8}" name="Elderly"/>
    <tableColumn id="6" xr3:uid="{96416CBB-BCA7-4B70-8E70-8A8E74E201F1}" name="Total">
      <calculatedColumnFormula>SUM(I5:L5)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174649-392D-4CE4-BCAB-8802EF73F67F}" name="Table3" displayName="Table3" ref="O4:T7" totalsRowShown="0">
  <autoFilter ref="O4:T7" xr:uid="{2F174649-392D-4CE4-BCAB-8802EF73F67F}"/>
  <tableColumns count="6">
    <tableColumn id="1" xr3:uid="{E3CC611E-0ADB-448E-933D-AF43211888F1}" name="Gender/ Age group"/>
    <tableColumn id="2" xr3:uid="{2544D1E8-E16D-4E7E-B36B-A896161A8920}" name="Child"/>
    <tableColumn id="3" xr3:uid="{23B84551-0C76-4D51-A0C8-E79C00435DA9}" name="Teen"/>
    <tableColumn id="4" xr3:uid="{F2CA5680-2867-4FBA-970F-132811FCCFEF}" name="Adult"/>
    <tableColumn id="5" xr3:uid="{EB61C64D-4C65-4439-A8EF-CD1483F94EB1}" name="Elderly"/>
    <tableColumn id="6" xr3:uid="{EDD69D5B-C38E-4AB5-B97A-2FF326A5DFD2}" name="Total">
      <calculatedColumnFormula>SUM(P5:S5)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1EED22-806A-4E7C-8319-6D2D2C8DEDFE}" name="Table15" displayName="Table15" ref="A37:E40" totalsRowShown="0">
  <tableColumns count="5">
    <tableColumn id="1" xr3:uid="{563EB02C-678B-4F95-A026-304D3142987D}" name="Heart Risk/ Age group"/>
    <tableColumn id="2" xr3:uid="{0D81F2D0-4DEA-4347-B37B-86FF75A69765}" name="Children"/>
    <tableColumn id="3" xr3:uid="{9456DCAF-76C1-43DD-BA49-4E3492CB4696}" name="Teens"/>
    <tableColumn id="4" xr3:uid="{64E4E977-41B4-4418-9360-0AFABD4C2597}" name="Adults"/>
    <tableColumn id="5" xr3:uid="{5E376741-6B43-4065-A0CC-776EDB145556}" name="Seniors"/>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6AFF06-94D8-4698-A5CE-1CC43851A31A}" name="Table156" displayName="Table156" ref="G37:K40" totalsRowShown="0">
  <tableColumns count="5">
    <tableColumn id="1" xr3:uid="{A923D6C4-DC9D-4862-A960-B770450FBE8E}" name="Heart Risk/ Age group"/>
    <tableColumn id="2" xr3:uid="{FC073AAB-702C-4DF6-87F0-D626BEA8FF07}" name="Children"/>
    <tableColumn id="3" xr3:uid="{7B6414B1-4F75-4318-A372-386F0F58F170}" name="Teens"/>
    <tableColumn id="4" xr3:uid="{D4094445-E07B-4E61-A89C-7B172240FF6D}" name="Adults"/>
    <tableColumn id="5" xr3:uid="{B0CF7144-EB1C-4511-B79C-9CC114F31B8E}" name="Seniors"/>
  </tableColumns>
  <tableStyleInfo name="TableStyleLight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802246-DF85-4FE3-8C54-267D005B331F}" name="Table18" displayName="Table18" ref="O34:S36" totalsRowShown="0">
  <autoFilter ref="O34:S36" xr:uid="{E1802246-DF85-4FE3-8C54-267D005B331F}"/>
  <tableColumns count="5">
    <tableColumn id="1" xr3:uid="{7C3D1D84-ADAB-4595-817B-EFB1463AAA17}" name="Gender/ Age group"/>
    <tableColumn id="2" xr3:uid="{54FBB1C4-B057-4D13-98B9-438E8397DE9C}" name="Children"/>
    <tableColumn id="3" xr3:uid="{47918D15-D422-4EB0-995F-BE809E4BDFDD}" name="Teens"/>
    <tableColumn id="4" xr3:uid="{7AF83377-CB47-4817-BEDB-E497BB44D4D2}" name="Adults"/>
    <tableColumn id="5" xr3:uid="{EF6689AD-B529-48DC-B2C2-DDEDF6FD5676}" name="Seniors"/>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youtube.com/watch?v=OwT0_24umzc" TargetMode="External"/><Relationship Id="rId1" Type="http://schemas.openxmlformats.org/officeDocument/2006/relationships/hyperlink" Target="https://www.medrxiv.org/content/10.1101/2025.01.05.25320014v1.full.pdf" TargetMode="External"/></Relationships>
</file>

<file path=xl/worksheets/_rels/sheet2.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pivotTable" Target="../pivotTables/pivotTable3.xml"/><Relationship Id="rId7" Type="http://schemas.openxmlformats.org/officeDocument/2006/relationships/table" Target="../tables/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10" Type="http://schemas.openxmlformats.org/officeDocument/2006/relationships/table" Target="../tables/table6.xml"/><Relationship Id="rId4" Type="http://schemas.openxmlformats.org/officeDocument/2006/relationships/drawing" Target="../drawings/drawing2.xml"/><Relationship Id="rId9" Type="http://schemas.openxmlformats.org/officeDocument/2006/relationships/table" Target="../tables/table5.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drawing" Target="../drawings/drawing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D14CD-8E3E-4F4C-AA42-B19A9EB6E22C}">
  <dimension ref="A2:AA176"/>
  <sheetViews>
    <sheetView topLeftCell="A135" zoomScale="76" workbookViewId="0">
      <selection activeCell="R146" sqref="R146"/>
    </sheetView>
  </sheetViews>
  <sheetFormatPr defaultRowHeight="14.5" x14ac:dyDescent="0.35"/>
  <sheetData>
    <row r="2" spans="1:2" x14ac:dyDescent="0.35">
      <c r="A2" s="4" t="s">
        <v>36</v>
      </c>
      <c r="B2" s="1" t="s">
        <v>47</v>
      </c>
    </row>
    <row r="3" spans="1:2" x14ac:dyDescent="0.35">
      <c r="A3" s="4" t="s">
        <v>5</v>
      </c>
      <c r="B3" s="2" t="s">
        <v>25</v>
      </c>
    </row>
    <row r="4" spans="1:2" x14ac:dyDescent="0.35">
      <c r="B4" s="3" t="s">
        <v>26</v>
      </c>
    </row>
    <row r="5" spans="1:2" x14ac:dyDescent="0.35">
      <c r="B5" s="3" t="s">
        <v>27</v>
      </c>
    </row>
    <row r="6" spans="1:2" x14ac:dyDescent="0.35">
      <c r="B6" s="3" t="s">
        <v>45</v>
      </c>
    </row>
    <row r="7" spans="1:2" x14ac:dyDescent="0.35">
      <c r="B7" s="2" t="s">
        <v>28</v>
      </c>
    </row>
    <row r="8" spans="1:2" x14ac:dyDescent="0.35">
      <c r="B8" s="3" t="s">
        <v>29</v>
      </c>
    </row>
    <row r="9" spans="1:2" x14ac:dyDescent="0.35">
      <c r="B9" s="3" t="s">
        <v>30</v>
      </c>
    </row>
    <row r="10" spans="1:2" x14ac:dyDescent="0.35">
      <c r="B10" s="3" t="s">
        <v>31</v>
      </c>
    </row>
    <row r="11" spans="1:2" x14ac:dyDescent="0.35">
      <c r="B11" s="3" t="s">
        <v>46</v>
      </c>
    </row>
    <row r="12" spans="1:2" x14ac:dyDescent="0.35">
      <c r="B12" s="2" t="s">
        <v>32</v>
      </c>
    </row>
    <row r="13" spans="1:2" x14ac:dyDescent="0.35">
      <c r="B13" s="3" t="s">
        <v>33</v>
      </c>
    </row>
    <row r="14" spans="1:2" x14ac:dyDescent="0.35">
      <c r="B14" s="3" t="s">
        <v>34</v>
      </c>
    </row>
    <row r="15" spans="1:2" x14ac:dyDescent="0.35">
      <c r="B15" s="3" t="s">
        <v>35</v>
      </c>
    </row>
    <row r="17" spans="1:25" x14ac:dyDescent="0.35">
      <c r="A17" s="4" t="s">
        <v>36</v>
      </c>
      <c r="B17" s="1" t="s">
        <v>48</v>
      </c>
      <c r="C17" s="1"/>
      <c r="D17" s="1"/>
      <c r="E17" s="1"/>
      <c r="F17" s="1"/>
      <c r="G17" s="1"/>
      <c r="H17" s="1"/>
      <c r="I17" s="1"/>
      <c r="J17" s="1"/>
      <c r="K17" s="1"/>
      <c r="L17" s="1"/>
      <c r="M17" s="1"/>
      <c r="N17" s="1"/>
      <c r="O17" s="1"/>
      <c r="P17" s="1"/>
      <c r="Q17" s="1"/>
      <c r="R17" s="1"/>
      <c r="S17" s="1"/>
      <c r="T17" s="1"/>
      <c r="U17" s="1"/>
      <c r="V17" s="1"/>
      <c r="W17" s="1"/>
      <c r="X17" s="1"/>
      <c r="Y17" s="1"/>
    </row>
    <row r="18" spans="1:25" x14ac:dyDescent="0.35">
      <c r="A18" s="4" t="s">
        <v>6</v>
      </c>
      <c r="B18" s="2" t="s">
        <v>37</v>
      </c>
    </row>
    <row r="19" spans="1:25" x14ac:dyDescent="0.35">
      <c r="B19" s="3" t="s">
        <v>38</v>
      </c>
    </row>
    <row r="20" spans="1:25" x14ac:dyDescent="0.35">
      <c r="B20" s="3" t="s">
        <v>39</v>
      </c>
    </row>
    <row r="21" spans="1:25" x14ac:dyDescent="0.35">
      <c r="B21" s="3" t="s">
        <v>40</v>
      </c>
    </row>
    <row r="22" spans="1:25" x14ac:dyDescent="0.35">
      <c r="B22" s="5" t="s">
        <v>41</v>
      </c>
    </row>
    <row r="23" spans="1:25" x14ac:dyDescent="0.35">
      <c r="B23" s="5" t="s">
        <v>42</v>
      </c>
    </row>
    <row r="24" spans="1:25" x14ac:dyDescent="0.35">
      <c r="B24" s="6" t="s">
        <v>43</v>
      </c>
    </row>
    <row r="25" spans="1:25" x14ac:dyDescent="0.35">
      <c r="B25" s="3" t="s">
        <v>44</v>
      </c>
    </row>
    <row r="26" spans="1:25" x14ac:dyDescent="0.35">
      <c r="B26" s="3" t="s">
        <v>49</v>
      </c>
    </row>
    <row r="27" spans="1:25" x14ac:dyDescent="0.35">
      <c r="B27" s="1" t="s">
        <v>63</v>
      </c>
    </row>
    <row r="28" spans="1:25" x14ac:dyDescent="0.35">
      <c r="B28" s="3" t="s">
        <v>64</v>
      </c>
    </row>
    <row r="29" spans="1:25" x14ac:dyDescent="0.35">
      <c r="B29" s="3" t="s">
        <v>65</v>
      </c>
    </row>
    <row r="30" spans="1:25" x14ac:dyDescent="0.35">
      <c r="B30" s="5" t="s">
        <v>61</v>
      </c>
    </row>
    <row r="31" spans="1:25" x14ac:dyDescent="0.35">
      <c r="B31" s="5" t="s">
        <v>62</v>
      </c>
    </row>
    <row r="32" spans="1:25" x14ac:dyDescent="0.35">
      <c r="B32" s="3"/>
    </row>
    <row r="33" spans="1:27" x14ac:dyDescent="0.35">
      <c r="B33" s="7"/>
    </row>
    <row r="35" spans="1:27" x14ac:dyDescent="0.35">
      <c r="A35" s="4" t="s">
        <v>36</v>
      </c>
      <c r="B35" s="1" t="s">
        <v>57</v>
      </c>
      <c r="C35" s="1"/>
      <c r="D35" s="1"/>
      <c r="E35" s="1"/>
      <c r="F35" s="1"/>
      <c r="G35" s="1"/>
      <c r="H35" s="1"/>
      <c r="I35" s="1"/>
      <c r="J35" s="1"/>
      <c r="K35" s="1"/>
      <c r="L35" s="1"/>
      <c r="M35" s="1"/>
      <c r="N35" s="1"/>
      <c r="O35" s="1"/>
      <c r="P35" s="1"/>
      <c r="Q35" s="1"/>
      <c r="R35" s="1"/>
      <c r="S35" s="1"/>
      <c r="T35" s="1"/>
      <c r="U35" s="1"/>
      <c r="V35" s="1"/>
      <c r="W35" s="1"/>
      <c r="X35" s="1"/>
      <c r="Y35" s="1"/>
      <c r="Z35" s="1"/>
      <c r="AA35" s="1"/>
    </row>
    <row r="36" spans="1:27" x14ac:dyDescent="0.35">
      <c r="A36" s="4" t="s">
        <v>7</v>
      </c>
      <c r="B36" s="2" t="s">
        <v>50</v>
      </c>
    </row>
    <row r="37" spans="1:27" x14ac:dyDescent="0.35">
      <c r="B37" s="3" t="s">
        <v>51</v>
      </c>
    </row>
    <row r="38" spans="1:27" x14ac:dyDescent="0.35">
      <c r="B38" s="3" t="s">
        <v>52</v>
      </c>
    </row>
    <row r="39" spans="1:27" x14ac:dyDescent="0.35">
      <c r="B39" s="3" t="s">
        <v>60</v>
      </c>
    </row>
    <row r="40" spans="1:27" x14ac:dyDescent="0.35">
      <c r="B40" s="3" t="s">
        <v>53</v>
      </c>
    </row>
    <row r="41" spans="1:27" x14ac:dyDescent="0.35">
      <c r="B41" s="3" t="s">
        <v>59</v>
      </c>
    </row>
    <row r="42" spans="1:27" x14ac:dyDescent="0.35">
      <c r="B42" s="2" t="s">
        <v>54</v>
      </c>
    </row>
    <row r="43" spans="1:27" x14ac:dyDescent="0.35">
      <c r="B43" s="3" t="s">
        <v>55</v>
      </c>
    </row>
    <row r="44" spans="1:27" x14ac:dyDescent="0.35">
      <c r="B44" s="3" t="s">
        <v>58</v>
      </c>
    </row>
    <row r="45" spans="1:27" x14ac:dyDescent="0.35">
      <c r="B45" s="1" t="s">
        <v>56</v>
      </c>
    </row>
    <row r="46" spans="1:27" x14ac:dyDescent="0.35">
      <c r="B46" s="21" t="s">
        <v>268</v>
      </c>
    </row>
    <row r="47" spans="1:27" x14ac:dyDescent="0.35">
      <c r="B47" s="21" t="s">
        <v>269</v>
      </c>
    </row>
    <row r="48" spans="1:27" x14ac:dyDescent="0.35">
      <c r="B48" s="21" t="s">
        <v>270</v>
      </c>
    </row>
    <row r="49" spans="1:5" x14ac:dyDescent="0.35">
      <c r="B49" s="21" t="s">
        <v>271</v>
      </c>
    </row>
    <row r="50" spans="1:5" x14ac:dyDescent="0.35">
      <c r="B50" s="21" t="s">
        <v>272</v>
      </c>
    </row>
    <row r="54" spans="1:5" x14ac:dyDescent="0.35">
      <c r="A54" s="4" t="s">
        <v>36</v>
      </c>
      <c r="B54" s="8" t="s">
        <v>66</v>
      </c>
    </row>
    <row r="55" spans="1:5" x14ac:dyDescent="0.35">
      <c r="A55" s="4" t="s">
        <v>8</v>
      </c>
      <c r="B55" s="9" t="s">
        <v>67</v>
      </c>
    </row>
    <row r="56" spans="1:5" x14ac:dyDescent="0.35">
      <c r="B56" s="1" t="s">
        <v>68</v>
      </c>
    </row>
    <row r="57" spans="1:5" ht="18" x14ac:dyDescent="0.35">
      <c r="B57" s="10" t="s">
        <v>69</v>
      </c>
      <c r="C57" s="10" t="s">
        <v>70</v>
      </c>
      <c r="D57" s="10" t="s">
        <v>71</v>
      </c>
      <c r="E57" s="10" t="s">
        <v>20</v>
      </c>
    </row>
    <row r="58" spans="1:5" ht="27" x14ac:dyDescent="0.35">
      <c r="B58" s="11" t="s">
        <v>72</v>
      </c>
      <c r="C58" s="12" t="s">
        <v>73</v>
      </c>
      <c r="D58" s="12" t="s">
        <v>74</v>
      </c>
      <c r="E58" s="12" t="s">
        <v>75</v>
      </c>
    </row>
    <row r="59" spans="1:5" ht="27" x14ac:dyDescent="0.35">
      <c r="B59" s="11" t="s">
        <v>76</v>
      </c>
      <c r="C59" s="12" t="s">
        <v>77</v>
      </c>
      <c r="D59" s="12" t="s">
        <v>78</v>
      </c>
      <c r="E59" s="12" t="s">
        <v>79</v>
      </c>
    </row>
    <row r="60" spans="1:5" ht="27" x14ac:dyDescent="0.35">
      <c r="B60" s="11" t="s">
        <v>80</v>
      </c>
      <c r="C60" s="12" t="s">
        <v>81</v>
      </c>
      <c r="D60" s="12" t="s">
        <v>82</v>
      </c>
      <c r="E60" s="12" t="s">
        <v>83</v>
      </c>
    </row>
    <row r="61" spans="1:5" x14ac:dyDescent="0.35">
      <c r="B61" s="13"/>
    </row>
    <row r="62" spans="1:5" x14ac:dyDescent="0.35">
      <c r="B62" s="9" t="s">
        <v>84</v>
      </c>
    </row>
    <row r="63" spans="1:5" x14ac:dyDescent="0.35">
      <c r="B63" s="7"/>
    </row>
    <row r="64" spans="1:5" x14ac:dyDescent="0.35">
      <c r="B64" s="3" t="s">
        <v>85</v>
      </c>
    </row>
    <row r="65" spans="1:18" x14ac:dyDescent="0.35">
      <c r="B65" s="3" t="s">
        <v>86</v>
      </c>
    </row>
    <row r="66" spans="1:18" x14ac:dyDescent="0.35">
      <c r="B66" s="5" t="s">
        <v>87</v>
      </c>
    </row>
    <row r="67" spans="1:18" x14ac:dyDescent="0.35">
      <c r="B67" s="5" t="s">
        <v>88</v>
      </c>
    </row>
    <row r="68" spans="1:18" x14ac:dyDescent="0.35">
      <c r="B68" s="5" t="s">
        <v>89</v>
      </c>
    </row>
    <row r="69" spans="1:18" x14ac:dyDescent="0.35">
      <c r="B69" s="9" t="s">
        <v>90</v>
      </c>
    </row>
    <row r="70" spans="1:18" x14ac:dyDescent="0.35">
      <c r="B70" s="8" t="s">
        <v>91</v>
      </c>
    </row>
    <row r="71" spans="1:18" x14ac:dyDescent="0.35">
      <c r="B71" s="3" t="s">
        <v>92</v>
      </c>
    </row>
    <row r="75" spans="1:18" x14ac:dyDescent="0.35">
      <c r="A75" s="4" t="s">
        <v>36</v>
      </c>
      <c r="B75" s="8" t="s">
        <v>93</v>
      </c>
    </row>
    <row r="76" spans="1:18" ht="29" x14ac:dyDescent="0.35">
      <c r="A76" s="14" t="s">
        <v>9</v>
      </c>
      <c r="B76" s="8" t="s">
        <v>94</v>
      </c>
    </row>
    <row r="77" spans="1:18" x14ac:dyDescent="0.35">
      <c r="B77" s="8" t="s">
        <v>95</v>
      </c>
    </row>
    <row r="78" spans="1:18" x14ac:dyDescent="0.35">
      <c r="B78" s="8" t="s">
        <v>105</v>
      </c>
      <c r="R78" s="1" t="s">
        <v>119</v>
      </c>
    </row>
    <row r="79" spans="1:18" x14ac:dyDescent="0.35">
      <c r="B79" s="8" t="s">
        <v>106</v>
      </c>
      <c r="R79" s="9" t="s">
        <v>120</v>
      </c>
    </row>
    <row r="80" spans="1:18" x14ac:dyDescent="0.35">
      <c r="B80" s="8" t="s">
        <v>107</v>
      </c>
      <c r="R80" s="1" t="s">
        <v>121</v>
      </c>
    </row>
    <row r="81" spans="2:21" x14ac:dyDescent="0.35">
      <c r="B81" s="8" t="s">
        <v>96</v>
      </c>
      <c r="R81" s="3" t="s">
        <v>122</v>
      </c>
    </row>
    <row r="82" spans="2:21" x14ac:dyDescent="0.35">
      <c r="B82" s="8" t="s">
        <v>97</v>
      </c>
      <c r="R82" s="5" t="s">
        <v>123</v>
      </c>
    </row>
    <row r="83" spans="2:21" x14ac:dyDescent="0.35">
      <c r="B83" s="8" t="s">
        <v>98</v>
      </c>
      <c r="C83" t="s">
        <v>99</v>
      </c>
      <c r="D83" t="s">
        <v>100</v>
      </c>
      <c r="R83" s="5" t="s">
        <v>124</v>
      </c>
    </row>
    <row r="84" spans="2:21" x14ac:dyDescent="0.35">
      <c r="B84" s="8" t="s">
        <v>101</v>
      </c>
      <c r="C84" t="s">
        <v>108</v>
      </c>
      <c r="D84" t="s">
        <v>109</v>
      </c>
      <c r="R84" s="5" t="s">
        <v>125</v>
      </c>
    </row>
    <row r="85" spans="2:21" x14ac:dyDescent="0.35">
      <c r="B85" s="8" t="s">
        <v>102</v>
      </c>
      <c r="C85" t="s">
        <v>110</v>
      </c>
      <c r="D85" t="s">
        <v>111</v>
      </c>
      <c r="R85" s="3" t="s">
        <v>126</v>
      </c>
    </row>
    <row r="86" spans="2:21" x14ac:dyDescent="0.35">
      <c r="B86" s="8" t="s">
        <v>112</v>
      </c>
      <c r="R86" s="5" t="s">
        <v>127</v>
      </c>
    </row>
    <row r="87" spans="2:21" x14ac:dyDescent="0.35">
      <c r="B87" s="8" t="s">
        <v>103</v>
      </c>
      <c r="R87" s="5" t="s">
        <v>128</v>
      </c>
    </row>
    <row r="88" spans="2:21" x14ac:dyDescent="0.35">
      <c r="B88" s="8" t="s">
        <v>113</v>
      </c>
      <c r="R88" s="9" t="s">
        <v>129</v>
      </c>
    </row>
    <row r="89" spans="2:21" x14ac:dyDescent="0.35">
      <c r="B89" s="8" t="s">
        <v>114</v>
      </c>
      <c r="R89" t="s">
        <v>130</v>
      </c>
    </row>
    <row r="90" spans="2:21" x14ac:dyDescent="0.35">
      <c r="B90" s="8" t="s">
        <v>115</v>
      </c>
      <c r="R90" s="3" t="s">
        <v>131</v>
      </c>
    </row>
    <row r="91" spans="2:21" x14ac:dyDescent="0.35">
      <c r="B91" s="8" t="s">
        <v>104</v>
      </c>
      <c r="R91" s="3" t="s">
        <v>132</v>
      </c>
    </row>
    <row r="92" spans="2:21" x14ac:dyDescent="0.35">
      <c r="B92" s="8" t="s">
        <v>116</v>
      </c>
      <c r="R92" s="9" t="s">
        <v>133</v>
      </c>
    </row>
    <row r="93" spans="2:21" x14ac:dyDescent="0.35">
      <c r="B93" s="8" t="s">
        <v>117</v>
      </c>
      <c r="R93" s="1" t="s">
        <v>134</v>
      </c>
    </row>
    <row r="94" spans="2:21" ht="36" x14ac:dyDescent="0.35">
      <c r="B94" s="8" t="s">
        <v>118</v>
      </c>
      <c r="R94" s="10" t="s">
        <v>135</v>
      </c>
      <c r="S94" s="10" t="s">
        <v>136</v>
      </c>
      <c r="T94" s="10" t="s">
        <v>137</v>
      </c>
      <c r="U94" s="10" t="s">
        <v>138</v>
      </c>
    </row>
    <row r="95" spans="2:21" ht="27" x14ac:dyDescent="0.35">
      <c r="R95" s="11" t="s">
        <v>139</v>
      </c>
      <c r="S95" s="12" t="s">
        <v>140</v>
      </c>
      <c r="T95" s="12" t="s">
        <v>141</v>
      </c>
      <c r="U95" s="12" t="s">
        <v>142</v>
      </c>
    </row>
    <row r="96" spans="2:21" ht="27" x14ac:dyDescent="0.35">
      <c r="R96" s="11" t="s">
        <v>143</v>
      </c>
      <c r="S96" s="12" t="s">
        <v>144</v>
      </c>
      <c r="T96" s="12" t="s">
        <v>145</v>
      </c>
      <c r="U96" s="12" t="s">
        <v>146</v>
      </c>
    </row>
    <row r="97" spans="1:21" ht="27" x14ac:dyDescent="0.35">
      <c r="R97" s="11" t="s">
        <v>147</v>
      </c>
      <c r="S97" s="12" t="s">
        <v>148</v>
      </c>
      <c r="T97" s="12" t="s">
        <v>149</v>
      </c>
      <c r="U97" s="12" t="s">
        <v>150</v>
      </c>
    </row>
    <row r="102" spans="1:21" x14ac:dyDescent="0.35">
      <c r="A102" s="4" t="s">
        <v>36</v>
      </c>
      <c r="B102" t="s">
        <v>151</v>
      </c>
    </row>
    <row r="103" spans="1:21" ht="29" x14ac:dyDescent="0.35">
      <c r="A103" s="14" t="s">
        <v>10</v>
      </c>
      <c r="B103" s="9" t="s">
        <v>152</v>
      </c>
    </row>
    <row r="104" spans="1:21" x14ac:dyDescent="0.35">
      <c r="B104" s="1" t="s">
        <v>153</v>
      </c>
    </row>
    <row r="105" spans="1:21" ht="45" x14ac:dyDescent="0.35">
      <c r="B105" s="10" t="s">
        <v>278</v>
      </c>
      <c r="C105" s="10" t="s">
        <v>154</v>
      </c>
      <c r="D105" s="10" t="s">
        <v>155</v>
      </c>
    </row>
    <row r="106" spans="1:21" ht="45" x14ac:dyDescent="0.35">
      <c r="B106" s="11" t="s">
        <v>156</v>
      </c>
      <c r="C106" s="11" t="s">
        <v>157</v>
      </c>
      <c r="D106" s="12" t="s">
        <v>158</v>
      </c>
    </row>
    <row r="107" spans="1:21" ht="45" x14ac:dyDescent="0.35">
      <c r="B107" s="11" t="s">
        <v>159</v>
      </c>
      <c r="C107" s="11" t="s">
        <v>160</v>
      </c>
      <c r="D107" s="12" t="s">
        <v>161</v>
      </c>
    </row>
    <row r="108" spans="1:21" ht="36" x14ac:dyDescent="0.35">
      <c r="B108" s="11" t="s">
        <v>162</v>
      </c>
      <c r="C108" s="11" t="s">
        <v>163</v>
      </c>
      <c r="D108" s="12" t="s">
        <v>164</v>
      </c>
    </row>
    <row r="109" spans="1:21" ht="36" x14ac:dyDescent="0.35">
      <c r="B109" s="11" t="s">
        <v>165</v>
      </c>
      <c r="C109" s="11" t="s">
        <v>166</v>
      </c>
      <c r="D109" s="12" t="s">
        <v>167</v>
      </c>
    </row>
    <row r="110" spans="1:21" ht="54" x14ac:dyDescent="0.35">
      <c r="B110" s="11" t="s">
        <v>168</v>
      </c>
      <c r="C110" s="11" t="s">
        <v>169</v>
      </c>
      <c r="D110" s="12" t="s">
        <v>170</v>
      </c>
    </row>
    <row r="111" spans="1:21" x14ac:dyDescent="0.35">
      <c r="B111" s="9" t="s">
        <v>171</v>
      </c>
    </row>
    <row r="112" spans="1:21" x14ac:dyDescent="0.35">
      <c r="B112" s="3" t="s">
        <v>172</v>
      </c>
    </row>
    <row r="113" spans="1:2" x14ac:dyDescent="0.35">
      <c r="B113" s="3" t="s">
        <v>173</v>
      </c>
    </row>
    <row r="114" spans="1:2" x14ac:dyDescent="0.35">
      <c r="B114" s="5" t="s">
        <v>174</v>
      </c>
    </row>
    <row r="115" spans="1:2" x14ac:dyDescent="0.35">
      <c r="B115" s="5" t="s">
        <v>175</v>
      </c>
    </row>
    <row r="116" spans="1:2" x14ac:dyDescent="0.35">
      <c r="B116" s="3" t="s">
        <v>176</v>
      </c>
    </row>
    <row r="117" spans="1:2" x14ac:dyDescent="0.35">
      <c r="B117" s="9" t="s">
        <v>177</v>
      </c>
    </row>
    <row r="118" spans="1:2" x14ac:dyDescent="0.35">
      <c r="B118" s="1" t="s">
        <v>178</v>
      </c>
    </row>
    <row r="119" spans="1:2" x14ac:dyDescent="0.35">
      <c r="B119" s="3" t="s">
        <v>179</v>
      </c>
    </row>
    <row r="120" spans="1:2" x14ac:dyDescent="0.35">
      <c r="B120" s="3" t="s">
        <v>180</v>
      </c>
    </row>
    <row r="121" spans="1:2" x14ac:dyDescent="0.35">
      <c r="B121" s="9" t="s">
        <v>181</v>
      </c>
    </row>
    <row r="122" spans="1:2" x14ac:dyDescent="0.35">
      <c r="B122" s="1" t="s">
        <v>182</v>
      </c>
    </row>
    <row r="123" spans="1:2" x14ac:dyDescent="0.35">
      <c r="B123" s="3" t="s">
        <v>183</v>
      </c>
    </row>
    <row r="124" spans="1:2" x14ac:dyDescent="0.35">
      <c r="B124" s="3" t="s">
        <v>184</v>
      </c>
    </row>
    <row r="128" spans="1:2" x14ac:dyDescent="0.35">
      <c r="A128" s="4" t="s">
        <v>36</v>
      </c>
      <c r="B128" t="s">
        <v>185</v>
      </c>
    </row>
    <row r="129" spans="1:18" ht="29" x14ac:dyDescent="0.35">
      <c r="A129" s="14" t="s">
        <v>11</v>
      </c>
      <c r="B129" s="9" t="s">
        <v>186</v>
      </c>
    </row>
    <row r="130" spans="1:18" x14ac:dyDescent="0.35">
      <c r="B130" s="1" t="s">
        <v>187</v>
      </c>
    </row>
    <row r="131" spans="1:18" ht="27" x14ac:dyDescent="0.35">
      <c r="B131" s="10" t="s">
        <v>188</v>
      </c>
      <c r="C131" s="10" t="s">
        <v>189</v>
      </c>
      <c r="D131" s="10" t="s">
        <v>190</v>
      </c>
    </row>
    <row r="132" spans="1:18" ht="36" x14ac:dyDescent="0.35">
      <c r="B132" s="11" t="s">
        <v>191</v>
      </c>
      <c r="C132" s="11" t="s">
        <v>192</v>
      </c>
      <c r="D132" s="12" t="s">
        <v>193</v>
      </c>
    </row>
    <row r="133" spans="1:18" ht="36" x14ac:dyDescent="0.35">
      <c r="B133" s="11" t="s">
        <v>159</v>
      </c>
      <c r="C133" s="11" t="s">
        <v>194</v>
      </c>
      <c r="D133" s="12" t="s">
        <v>195</v>
      </c>
      <c r="K133" s="1" t="s">
        <v>279</v>
      </c>
    </row>
    <row r="134" spans="1:18" ht="87" x14ac:dyDescent="0.35">
      <c r="B134" s="11" t="s">
        <v>196</v>
      </c>
      <c r="C134" s="11" t="s">
        <v>197</v>
      </c>
      <c r="D134" s="15" t="s">
        <v>198</v>
      </c>
      <c r="K134" s="22" t="s">
        <v>280</v>
      </c>
    </row>
    <row r="135" spans="1:18" ht="63" x14ac:dyDescent="0.35">
      <c r="B135" s="11" t="s">
        <v>199</v>
      </c>
      <c r="C135" s="11" t="s">
        <v>200</v>
      </c>
      <c r="D135" s="11" t="s">
        <v>201</v>
      </c>
      <c r="K135" s="22" t="s">
        <v>281</v>
      </c>
    </row>
    <row r="136" spans="1:18" ht="87" x14ac:dyDescent="0.35">
      <c r="B136" s="11" t="s">
        <v>202</v>
      </c>
      <c r="C136" s="11" t="s">
        <v>203</v>
      </c>
      <c r="D136" s="15" t="s">
        <v>204</v>
      </c>
      <c r="K136" s="22" t="s">
        <v>282</v>
      </c>
    </row>
    <row r="137" spans="1:18" x14ac:dyDescent="0.35">
      <c r="B137" s="9" t="s">
        <v>205</v>
      </c>
    </row>
    <row r="138" spans="1:18" x14ac:dyDescent="0.35">
      <c r="B138" s="1" t="s">
        <v>206</v>
      </c>
    </row>
    <row r="139" spans="1:18" x14ac:dyDescent="0.35">
      <c r="B139" s="3" t="s">
        <v>207</v>
      </c>
      <c r="R139" s="23" t="s">
        <v>283</v>
      </c>
    </row>
    <row r="140" spans="1:18" x14ac:dyDescent="0.35">
      <c r="B140" s="5" t="s">
        <v>208</v>
      </c>
      <c r="R140" s="22" t="s">
        <v>284</v>
      </c>
    </row>
    <row r="141" spans="1:18" x14ac:dyDescent="0.35">
      <c r="B141" s="5" t="s">
        <v>209</v>
      </c>
      <c r="R141" s="22" t="s">
        <v>285</v>
      </c>
    </row>
    <row r="142" spans="1:18" x14ac:dyDescent="0.35">
      <c r="B142" s="3" t="s">
        <v>210</v>
      </c>
      <c r="R142" s="22" t="s">
        <v>286</v>
      </c>
    </row>
    <row r="143" spans="1:18" x14ac:dyDescent="0.35">
      <c r="B143" s="5" t="s">
        <v>211</v>
      </c>
      <c r="R143" s="22" t="s">
        <v>287</v>
      </c>
    </row>
    <row r="144" spans="1:18" x14ac:dyDescent="0.35">
      <c r="B144" s="5" t="s">
        <v>212</v>
      </c>
    </row>
    <row r="145" spans="2:2" x14ac:dyDescent="0.35">
      <c r="B145" s="3" t="s">
        <v>213</v>
      </c>
    </row>
    <row r="146" spans="2:2" x14ac:dyDescent="0.35">
      <c r="B146" s="9" t="s">
        <v>214</v>
      </c>
    </row>
    <row r="147" spans="2:2" x14ac:dyDescent="0.35">
      <c r="B147" s="1" t="s">
        <v>215</v>
      </c>
    </row>
    <row r="148" spans="2:2" x14ac:dyDescent="0.35">
      <c r="B148" s="1"/>
    </row>
    <row r="153" spans="2:2" x14ac:dyDescent="0.35">
      <c r="B153" s="16" t="s">
        <v>250</v>
      </c>
    </row>
    <row r="154" spans="2:2" x14ac:dyDescent="0.35">
      <c r="B154" s="1" t="s">
        <v>216</v>
      </c>
    </row>
    <row r="155" spans="2:2" x14ac:dyDescent="0.35">
      <c r="B155" t="s">
        <v>217</v>
      </c>
    </row>
    <row r="156" spans="2:2" x14ac:dyDescent="0.35">
      <c r="B156" t="s">
        <v>218</v>
      </c>
    </row>
    <row r="157" spans="2:2" x14ac:dyDescent="0.35">
      <c r="B157" s="3" t="s">
        <v>219</v>
      </c>
    </row>
    <row r="158" spans="2:2" x14ac:dyDescent="0.35">
      <c r="B158" s="3" t="s">
        <v>220</v>
      </c>
    </row>
    <row r="159" spans="2:2" x14ac:dyDescent="0.35">
      <c r="B159" s="3" t="s">
        <v>221</v>
      </c>
    </row>
    <row r="160" spans="2:2" x14ac:dyDescent="0.35">
      <c r="B160" s="3" t="s">
        <v>222</v>
      </c>
    </row>
    <row r="161" spans="2:5" x14ac:dyDescent="0.35">
      <c r="B161" s="9" t="s">
        <v>223</v>
      </c>
    </row>
    <row r="162" spans="2:5" x14ac:dyDescent="0.35">
      <c r="B162" t="s">
        <v>224</v>
      </c>
    </row>
    <row r="163" spans="2:5" x14ac:dyDescent="0.35">
      <c r="B163" s="3" t="s">
        <v>225</v>
      </c>
    </row>
    <row r="164" spans="2:5" x14ac:dyDescent="0.35">
      <c r="B164" s="3" t="s">
        <v>226</v>
      </c>
    </row>
    <row r="165" spans="2:5" x14ac:dyDescent="0.35">
      <c r="B165" s="3" t="s">
        <v>227</v>
      </c>
    </row>
    <row r="166" spans="2:5" x14ac:dyDescent="0.35">
      <c r="B166" t="s">
        <v>228</v>
      </c>
    </row>
    <row r="167" spans="2:5" x14ac:dyDescent="0.35">
      <c r="B167" s="1" t="s">
        <v>229</v>
      </c>
    </row>
    <row r="168" spans="2:5" x14ac:dyDescent="0.35">
      <c r="B168" s="3" t="s">
        <v>230</v>
      </c>
    </row>
    <row r="169" spans="2:5" x14ac:dyDescent="0.35">
      <c r="B169" s="3" t="s">
        <v>231</v>
      </c>
    </row>
    <row r="170" spans="2:5" x14ac:dyDescent="0.35">
      <c r="B170" s="3" t="s">
        <v>232</v>
      </c>
    </row>
    <row r="171" spans="2:5" x14ac:dyDescent="0.35">
      <c r="B171" s="3" t="s">
        <v>233</v>
      </c>
    </row>
    <row r="172" spans="2:5" ht="18" x14ac:dyDescent="0.35">
      <c r="B172" s="10" t="s">
        <v>234</v>
      </c>
      <c r="C172" s="10" t="s">
        <v>235</v>
      </c>
      <c r="D172" s="10" t="s">
        <v>236</v>
      </c>
      <c r="E172" s="10" t="s">
        <v>237</v>
      </c>
    </row>
    <row r="173" spans="2:5" ht="18" x14ac:dyDescent="0.35">
      <c r="B173" s="11" t="s">
        <v>238</v>
      </c>
      <c r="C173" s="12" t="s">
        <v>239</v>
      </c>
      <c r="D173" s="12" t="s">
        <v>240</v>
      </c>
      <c r="E173" s="12" t="s">
        <v>241</v>
      </c>
    </row>
    <row r="174" spans="2:5" ht="18" x14ac:dyDescent="0.35">
      <c r="B174" s="11" t="s">
        <v>5</v>
      </c>
      <c r="C174" s="12" t="s">
        <v>242</v>
      </c>
      <c r="D174" s="12" t="s">
        <v>243</v>
      </c>
      <c r="E174" s="12" t="s">
        <v>244</v>
      </c>
    </row>
    <row r="175" spans="2:5" ht="18" x14ac:dyDescent="0.35">
      <c r="B175" s="11" t="s">
        <v>7</v>
      </c>
      <c r="C175" s="12" t="s">
        <v>245</v>
      </c>
      <c r="D175" s="12" t="s">
        <v>245</v>
      </c>
      <c r="E175" s="12" t="s">
        <v>246</v>
      </c>
    </row>
    <row r="176" spans="2:5" ht="27" x14ac:dyDescent="0.35">
      <c r="B176" s="11" t="s">
        <v>147</v>
      </c>
      <c r="C176" s="12" t="s">
        <v>247</v>
      </c>
      <c r="D176" s="12" t="s">
        <v>248</v>
      </c>
      <c r="E176" s="12" t="s">
        <v>249</v>
      </c>
    </row>
  </sheetData>
  <hyperlinks>
    <hyperlink ref="D134" r:id="rId1" display="https://www.medrxiv.org/content/10.1101/2025.01.05.25320014v1.full.pdf" xr:uid="{7C209487-D9CA-44B4-A89F-BBB66597C999}"/>
    <hyperlink ref="D136" r:id="rId2" display="https://www.youtube.com/watch?v=OwT0_24umzc" xr:uid="{CCBBFC57-3B53-496F-AC3F-DCB22E2A2960}"/>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56846-7D0C-40F5-B6C4-BF5101CE5C46}">
  <dimension ref="A1:X40"/>
  <sheetViews>
    <sheetView topLeftCell="A10" zoomScale="66" workbookViewId="0">
      <selection activeCell="E29" sqref="E29"/>
    </sheetView>
  </sheetViews>
  <sheetFormatPr defaultRowHeight="14.5" x14ac:dyDescent="0.35"/>
  <cols>
    <col min="1" max="1" width="12.36328125" bestFit="1" customWidth="1"/>
    <col min="2" max="2" width="11.26953125" bestFit="1" customWidth="1"/>
    <col min="3" max="3" width="11.1796875" bestFit="1" customWidth="1"/>
    <col min="4" max="4" width="11.6328125" bestFit="1" customWidth="1"/>
    <col min="5" max="5" width="12.7265625" bestFit="1" customWidth="1"/>
    <col min="8" max="8" width="13.90625" bestFit="1" customWidth="1"/>
    <col min="9" max="9" width="8.1796875" bestFit="1" customWidth="1"/>
    <col min="10" max="10" width="6" bestFit="1" customWidth="1"/>
    <col min="11" max="11" width="11.90625" bestFit="1" customWidth="1"/>
    <col min="12" max="12" width="13.26953125" bestFit="1" customWidth="1"/>
    <col min="15" max="15" width="13.26953125" bestFit="1" customWidth="1"/>
    <col min="16" max="16" width="11.36328125" bestFit="1" customWidth="1"/>
    <col min="17" max="17" width="11.26953125" bestFit="1" customWidth="1"/>
    <col min="18" max="18" width="11.90625" bestFit="1" customWidth="1"/>
    <col min="19" max="19" width="13.08984375" bestFit="1" customWidth="1"/>
  </cols>
  <sheetData>
    <row r="1" spans="1:24" ht="20" thickBot="1" x14ac:dyDescent="0.5">
      <c r="A1" s="26" t="s">
        <v>263</v>
      </c>
      <c r="B1" s="26"/>
      <c r="C1" s="26"/>
      <c r="D1" s="26"/>
      <c r="E1" s="26"/>
      <c r="F1" s="26"/>
      <c r="G1" s="26"/>
      <c r="H1" s="26"/>
      <c r="I1" s="26"/>
    </row>
    <row r="2" spans="1:24" ht="15" thickTop="1" x14ac:dyDescent="0.35"/>
    <row r="3" spans="1:24" x14ac:dyDescent="0.35">
      <c r="A3" s="20" t="s">
        <v>159</v>
      </c>
      <c r="H3" s="20" t="s">
        <v>266</v>
      </c>
      <c r="O3" s="20" t="s">
        <v>12</v>
      </c>
    </row>
    <row r="4" spans="1:24" ht="43.5" x14ac:dyDescent="0.35">
      <c r="A4" s="19" t="s">
        <v>264</v>
      </c>
      <c r="B4" t="s">
        <v>22</v>
      </c>
      <c r="C4" t="s">
        <v>24</v>
      </c>
      <c r="D4" t="s">
        <v>17</v>
      </c>
      <c r="E4" t="s">
        <v>19</v>
      </c>
      <c r="F4" t="s">
        <v>267</v>
      </c>
      <c r="H4" s="19" t="s">
        <v>264</v>
      </c>
      <c r="I4" t="s">
        <v>22</v>
      </c>
      <c r="J4" t="s">
        <v>24</v>
      </c>
      <c r="K4" t="s">
        <v>17</v>
      </c>
      <c r="L4" t="s">
        <v>19</v>
      </c>
      <c r="M4" t="s">
        <v>267</v>
      </c>
      <c r="O4" s="19" t="s">
        <v>264</v>
      </c>
      <c r="P4" t="s">
        <v>22</v>
      </c>
      <c r="Q4" t="s">
        <v>24</v>
      </c>
      <c r="R4" t="s">
        <v>17</v>
      </c>
      <c r="S4" t="s">
        <v>19</v>
      </c>
      <c r="T4" t="s">
        <v>267</v>
      </c>
    </row>
    <row r="5" spans="1:24" x14ac:dyDescent="0.35">
      <c r="A5" t="s">
        <v>265</v>
      </c>
      <c r="B5">
        <v>11</v>
      </c>
      <c r="C5">
        <v>6</v>
      </c>
      <c r="D5">
        <v>13</v>
      </c>
      <c r="E5">
        <v>3</v>
      </c>
      <c r="F5">
        <f>SUM(B5:E5)</f>
        <v>33</v>
      </c>
      <c r="H5" t="s">
        <v>265</v>
      </c>
      <c r="I5">
        <v>17</v>
      </c>
      <c r="J5">
        <v>6</v>
      </c>
      <c r="K5">
        <v>42</v>
      </c>
      <c r="L5">
        <v>8</v>
      </c>
      <c r="M5">
        <f>SUM(I5:L5)</f>
        <v>73</v>
      </c>
      <c r="O5" t="s">
        <v>265</v>
      </c>
      <c r="P5">
        <v>35</v>
      </c>
      <c r="Q5">
        <v>27</v>
      </c>
      <c r="R5">
        <v>195</v>
      </c>
      <c r="S5">
        <v>151</v>
      </c>
      <c r="T5">
        <f>SUM(P5:S5)</f>
        <v>408</v>
      </c>
    </row>
    <row r="6" spans="1:24" x14ac:dyDescent="0.35">
      <c r="A6" t="s">
        <v>21</v>
      </c>
      <c r="B6">
        <v>11</v>
      </c>
      <c r="C6">
        <v>4</v>
      </c>
      <c r="D6">
        <v>11</v>
      </c>
      <c r="E6">
        <v>0</v>
      </c>
      <c r="F6">
        <f>SUM(B6:E6)</f>
        <v>26</v>
      </c>
      <c r="H6" t="s">
        <v>21</v>
      </c>
      <c r="I6">
        <v>17</v>
      </c>
      <c r="J6">
        <v>12</v>
      </c>
      <c r="K6">
        <v>28</v>
      </c>
      <c r="L6">
        <v>9</v>
      </c>
      <c r="M6">
        <f>SUM(I6:L6)</f>
        <v>66</v>
      </c>
      <c r="O6" t="s">
        <v>21</v>
      </c>
      <c r="P6">
        <v>46</v>
      </c>
      <c r="Q6">
        <v>36</v>
      </c>
      <c r="R6">
        <v>177</v>
      </c>
      <c r="S6">
        <v>137</v>
      </c>
      <c r="T6">
        <f t="shared" ref="T6:T7" si="0">SUM(P6:S6)</f>
        <v>396</v>
      </c>
    </row>
    <row r="7" spans="1:24" x14ac:dyDescent="0.35">
      <c r="A7" t="s">
        <v>267</v>
      </c>
      <c r="B7">
        <f>SUM(B5:B6)</f>
        <v>22</v>
      </c>
      <c r="C7">
        <f t="shared" ref="C7:F7" si="1">SUM(C5:C6)</f>
        <v>10</v>
      </c>
      <c r="D7">
        <f t="shared" si="1"/>
        <v>24</v>
      </c>
      <c r="E7">
        <f t="shared" si="1"/>
        <v>3</v>
      </c>
      <c r="F7">
        <f t="shared" si="1"/>
        <v>59</v>
      </c>
      <c r="H7" t="s">
        <v>267</v>
      </c>
      <c r="I7">
        <f>SUM(I5:I6)</f>
        <v>34</v>
      </c>
      <c r="J7">
        <f t="shared" ref="J7:L7" si="2">SUM(J5:J6)</f>
        <v>18</v>
      </c>
      <c r="K7">
        <f t="shared" si="2"/>
        <v>70</v>
      </c>
      <c r="L7">
        <f t="shared" si="2"/>
        <v>17</v>
      </c>
      <c r="M7">
        <f>SUM(I7:L7)</f>
        <v>139</v>
      </c>
      <c r="O7" t="s">
        <v>267</v>
      </c>
      <c r="P7">
        <f>SUM(P5:P6)</f>
        <v>81</v>
      </c>
      <c r="Q7">
        <f t="shared" ref="Q7:S7" si="3">SUM(Q5:Q6)</f>
        <v>63</v>
      </c>
      <c r="R7">
        <f t="shared" si="3"/>
        <v>372</v>
      </c>
      <c r="S7">
        <f t="shared" si="3"/>
        <v>288</v>
      </c>
      <c r="T7">
        <f t="shared" si="0"/>
        <v>804</v>
      </c>
    </row>
    <row r="9" spans="1:24" x14ac:dyDescent="0.35">
      <c r="A9" s="17" t="s">
        <v>251</v>
      </c>
      <c r="B9" t="s">
        <v>274</v>
      </c>
      <c r="C9" t="s">
        <v>275</v>
      </c>
      <c r="D9" t="s">
        <v>276</v>
      </c>
      <c r="E9" t="s">
        <v>277</v>
      </c>
      <c r="H9" s="17" t="s">
        <v>251</v>
      </c>
      <c r="I9" t="s">
        <v>290</v>
      </c>
      <c r="J9" t="s">
        <v>291</v>
      </c>
      <c r="K9" t="s">
        <v>292</v>
      </c>
      <c r="L9" t="s">
        <v>293</v>
      </c>
      <c r="O9" s="17" t="s">
        <v>251</v>
      </c>
      <c r="P9" t="s">
        <v>290</v>
      </c>
      <c r="Q9" t="s">
        <v>291</v>
      </c>
      <c r="R9" t="s">
        <v>292</v>
      </c>
      <c r="S9" t="s">
        <v>293</v>
      </c>
    </row>
    <row r="10" spans="1:24" x14ac:dyDescent="0.35">
      <c r="A10" s="18" t="s">
        <v>265</v>
      </c>
      <c r="B10">
        <v>11</v>
      </c>
      <c r="C10">
        <v>6</v>
      </c>
      <c r="D10">
        <v>13</v>
      </c>
      <c r="E10">
        <v>3</v>
      </c>
      <c r="H10" s="18" t="s">
        <v>265</v>
      </c>
      <c r="I10">
        <v>17</v>
      </c>
      <c r="J10">
        <v>6</v>
      </c>
      <c r="K10">
        <v>42</v>
      </c>
      <c r="L10">
        <v>8</v>
      </c>
      <c r="O10" s="18" t="s">
        <v>265</v>
      </c>
      <c r="P10">
        <v>35</v>
      </c>
      <c r="Q10">
        <v>27</v>
      </c>
      <c r="R10">
        <v>195</v>
      </c>
      <c r="S10">
        <v>151</v>
      </c>
    </row>
    <row r="11" spans="1:24" x14ac:dyDescent="0.35">
      <c r="A11" s="18" t="s">
        <v>21</v>
      </c>
      <c r="B11">
        <v>11</v>
      </c>
      <c r="C11">
        <v>4</v>
      </c>
      <c r="D11">
        <v>11</v>
      </c>
      <c r="E11">
        <v>0</v>
      </c>
      <c r="H11" s="18" t="s">
        <v>21</v>
      </c>
      <c r="I11">
        <v>17</v>
      </c>
      <c r="J11">
        <v>12</v>
      </c>
      <c r="K11">
        <v>28</v>
      </c>
      <c r="L11">
        <v>9</v>
      </c>
      <c r="O11" s="18" t="s">
        <v>21</v>
      </c>
      <c r="P11">
        <v>46</v>
      </c>
      <c r="Q11">
        <v>36</v>
      </c>
      <c r="R11">
        <v>177</v>
      </c>
      <c r="S11">
        <v>137</v>
      </c>
    </row>
    <row r="12" spans="1:24" x14ac:dyDescent="0.35">
      <c r="A12" s="18" t="s">
        <v>252</v>
      </c>
      <c r="B12">
        <v>22</v>
      </c>
      <c r="C12">
        <v>10</v>
      </c>
      <c r="D12">
        <v>24</v>
      </c>
      <c r="E12">
        <v>3</v>
      </c>
      <c r="H12" s="18" t="s">
        <v>252</v>
      </c>
      <c r="I12">
        <v>34</v>
      </c>
      <c r="J12">
        <v>18</v>
      </c>
      <c r="K12">
        <v>70</v>
      </c>
      <c r="L12">
        <v>17</v>
      </c>
      <c r="O12" s="18" t="s">
        <v>252</v>
      </c>
      <c r="P12">
        <v>81</v>
      </c>
      <c r="Q12">
        <v>63</v>
      </c>
      <c r="R12">
        <v>372</v>
      </c>
      <c r="S12">
        <v>288</v>
      </c>
    </row>
    <row r="14" spans="1:24" x14ac:dyDescent="0.35">
      <c r="X14">
        <f>SUM(P12:Q12)</f>
        <v>144</v>
      </c>
    </row>
    <row r="15" spans="1:24" x14ac:dyDescent="0.35">
      <c r="X15">
        <f>SUM(I12:J12)</f>
        <v>52</v>
      </c>
    </row>
    <row r="33" spans="1:19" x14ac:dyDescent="0.35">
      <c r="O33" s="25" t="s">
        <v>289</v>
      </c>
    </row>
    <row r="34" spans="1:19" ht="29" x14ac:dyDescent="0.35">
      <c r="O34" s="19" t="s">
        <v>264</v>
      </c>
      <c r="P34" t="s">
        <v>290</v>
      </c>
      <c r="Q34" t="s">
        <v>291</v>
      </c>
      <c r="R34" t="s">
        <v>292</v>
      </c>
      <c r="S34" t="s">
        <v>293</v>
      </c>
    </row>
    <row r="35" spans="1:19" x14ac:dyDescent="0.35">
      <c r="O35" t="s">
        <v>265</v>
      </c>
      <c r="P35">
        <v>8</v>
      </c>
      <c r="Q35">
        <v>4</v>
      </c>
      <c r="R35">
        <v>82</v>
      </c>
      <c r="S35">
        <v>63</v>
      </c>
    </row>
    <row r="36" spans="1:19" x14ac:dyDescent="0.35">
      <c r="A36" s="24" t="s">
        <v>237</v>
      </c>
      <c r="B36" t="s">
        <v>21</v>
      </c>
      <c r="G36" s="24" t="s">
        <v>237</v>
      </c>
      <c r="H36" t="s">
        <v>16</v>
      </c>
      <c r="O36" t="s">
        <v>21</v>
      </c>
      <c r="P36">
        <v>10</v>
      </c>
      <c r="Q36">
        <v>8</v>
      </c>
      <c r="R36">
        <v>61</v>
      </c>
      <c r="S36">
        <v>61</v>
      </c>
    </row>
    <row r="37" spans="1:19" ht="43.5" x14ac:dyDescent="0.35">
      <c r="A37" s="19" t="s">
        <v>288</v>
      </c>
      <c r="B37" t="s">
        <v>290</v>
      </c>
      <c r="C37" t="s">
        <v>291</v>
      </c>
      <c r="D37" t="s">
        <v>292</v>
      </c>
      <c r="E37" t="s">
        <v>293</v>
      </c>
      <c r="G37" s="19" t="s">
        <v>288</v>
      </c>
      <c r="H37" t="s">
        <v>290</v>
      </c>
      <c r="I37" t="s">
        <v>291</v>
      </c>
      <c r="J37" t="s">
        <v>292</v>
      </c>
      <c r="K37" t="s">
        <v>293</v>
      </c>
    </row>
    <row r="38" spans="1:19" x14ac:dyDescent="0.35">
      <c r="A38" t="s">
        <v>23</v>
      </c>
      <c r="B38">
        <v>21</v>
      </c>
      <c r="C38">
        <v>11</v>
      </c>
      <c r="D38">
        <v>28</v>
      </c>
      <c r="E38">
        <v>16</v>
      </c>
      <c r="G38" t="s">
        <v>23</v>
      </c>
      <c r="H38">
        <v>16</v>
      </c>
      <c r="I38">
        <v>8</v>
      </c>
      <c r="J38">
        <v>26</v>
      </c>
      <c r="K38">
        <v>10</v>
      </c>
    </row>
    <row r="39" spans="1:19" x14ac:dyDescent="0.35">
      <c r="A39" t="s">
        <v>18</v>
      </c>
      <c r="B39">
        <v>20</v>
      </c>
      <c r="C39">
        <v>14</v>
      </c>
      <c r="D39">
        <v>48</v>
      </c>
      <c r="E39">
        <v>30</v>
      </c>
      <c r="G39" t="s">
        <v>18</v>
      </c>
      <c r="H39">
        <v>12</v>
      </c>
      <c r="I39">
        <v>10</v>
      </c>
      <c r="J39">
        <v>66</v>
      </c>
      <c r="K39">
        <v>39</v>
      </c>
    </row>
    <row r="40" spans="1:19" x14ac:dyDescent="0.35">
      <c r="A40" t="s">
        <v>20</v>
      </c>
      <c r="B40">
        <v>33</v>
      </c>
      <c r="C40">
        <v>27</v>
      </c>
      <c r="D40">
        <v>139</v>
      </c>
      <c r="E40">
        <v>100</v>
      </c>
      <c r="G40" t="s">
        <v>20</v>
      </c>
      <c r="H40">
        <v>34</v>
      </c>
      <c r="I40">
        <v>21</v>
      </c>
      <c r="J40">
        <v>158</v>
      </c>
      <c r="K40">
        <v>113</v>
      </c>
    </row>
  </sheetData>
  <mergeCells count="1">
    <mergeCell ref="A1:I1"/>
  </mergeCells>
  <pageMargins left="0.7" right="0.7" top="0.75" bottom="0.75" header="0.3" footer="0.3"/>
  <drawing r:id="rId4"/>
  <tableParts count="6">
    <tablePart r:id="rId5"/>
    <tablePart r:id="rId6"/>
    <tablePart r:id="rId7"/>
    <tablePart r:id="rId8"/>
    <tablePart r:id="rId9"/>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B4169-77DA-4AAB-A3F6-DA2B61ABB5B9}">
  <dimension ref="A2:AF52"/>
  <sheetViews>
    <sheetView topLeftCell="A24" zoomScale="66" workbookViewId="0">
      <selection activeCell="C51" sqref="C51"/>
    </sheetView>
  </sheetViews>
  <sheetFormatPr defaultRowHeight="14.5" x14ac:dyDescent="0.35"/>
  <cols>
    <col min="1" max="1" width="18.90625" bestFit="1" customWidth="1"/>
    <col min="2" max="2" width="17" bestFit="1" customWidth="1"/>
    <col min="3" max="5" width="12.90625" bestFit="1" customWidth="1"/>
    <col min="6" max="6" width="13.6328125" bestFit="1" customWidth="1"/>
    <col min="7" max="7" width="13.1796875" bestFit="1" customWidth="1"/>
    <col min="8" max="8" width="13.6328125" bestFit="1" customWidth="1"/>
    <col min="9" max="9" width="13.1796875" bestFit="1" customWidth="1"/>
    <col min="28" max="28" width="17.81640625" bestFit="1" customWidth="1"/>
    <col min="29" max="29" width="17" bestFit="1" customWidth="1"/>
    <col min="30" max="30" width="5.1796875" bestFit="1" customWidth="1"/>
    <col min="31" max="31" width="6.7265625" bestFit="1" customWidth="1"/>
    <col min="32" max="32" width="5.1796875" bestFit="1" customWidth="1"/>
    <col min="33" max="33" width="21.6328125" bestFit="1" customWidth="1"/>
    <col min="34" max="34" width="17.81640625" bestFit="1" customWidth="1"/>
    <col min="35" max="35" width="21.6328125" bestFit="1" customWidth="1"/>
    <col min="36" max="36" width="17.81640625" bestFit="1" customWidth="1"/>
  </cols>
  <sheetData>
    <row r="2" spans="1:32" x14ac:dyDescent="0.35">
      <c r="AB2" s="17" t="s">
        <v>261</v>
      </c>
      <c r="AC2" s="17" t="s">
        <v>253</v>
      </c>
    </row>
    <row r="3" spans="1:32" x14ac:dyDescent="0.35">
      <c r="A3" s="17" t="s">
        <v>254</v>
      </c>
      <c r="B3" s="17" t="s">
        <v>253</v>
      </c>
      <c r="AB3" s="17" t="s">
        <v>251</v>
      </c>
      <c r="AC3" t="s">
        <v>17</v>
      </c>
      <c r="AD3" t="s">
        <v>22</v>
      </c>
      <c r="AE3" t="s">
        <v>19</v>
      </c>
      <c r="AF3" t="s">
        <v>24</v>
      </c>
    </row>
    <row r="4" spans="1:32" x14ac:dyDescent="0.35">
      <c r="A4" s="17" t="s">
        <v>251</v>
      </c>
      <c r="B4" t="s">
        <v>17</v>
      </c>
      <c r="C4" t="s">
        <v>22</v>
      </c>
      <c r="D4" t="s">
        <v>19</v>
      </c>
      <c r="E4" t="s">
        <v>24</v>
      </c>
      <c r="AB4" s="18" t="s">
        <v>16</v>
      </c>
      <c r="AC4">
        <v>195</v>
      </c>
      <c r="AD4">
        <v>34</v>
      </c>
      <c r="AE4">
        <v>151</v>
      </c>
      <c r="AF4">
        <v>27</v>
      </c>
    </row>
    <row r="5" spans="1:32" x14ac:dyDescent="0.35">
      <c r="A5" s="18" t="s">
        <v>16</v>
      </c>
      <c r="B5">
        <v>7.3869199999999964</v>
      </c>
      <c r="C5">
        <v>6.6667741935483873</v>
      </c>
      <c r="D5">
        <v>8.1887037037037071</v>
      </c>
      <c r="E5">
        <v>6.9887179487179472</v>
      </c>
      <c r="AB5" s="18" t="s">
        <v>21</v>
      </c>
      <c r="AC5">
        <v>176</v>
      </c>
      <c r="AD5">
        <v>46</v>
      </c>
      <c r="AE5">
        <v>137</v>
      </c>
      <c r="AF5">
        <v>36</v>
      </c>
    </row>
    <row r="6" spans="1:32" x14ac:dyDescent="0.35">
      <c r="A6" s="18" t="s">
        <v>21</v>
      </c>
      <c r="B6">
        <v>7.4700000000000006</v>
      </c>
      <c r="C6">
        <v>6.7216216216216216</v>
      </c>
      <c r="D6">
        <v>8.1366438356164394</v>
      </c>
      <c r="E6">
        <v>7.1686538461538456</v>
      </c>
      <c r="AB6" s="18" t="s">
        <v>252</v>
      </c>
      <c r="AC6">
        <v>371</v>
      </c>
      <c r="AD6">
        <v>80</v>
      </c>
      <c r="AE6">
        <v>288</v>
      </c>
      <c r="AF6">
        <v>63</v>
      </c>
    </row>
    <row r="7" spans="1:32" x14ac:dyDescent="0.35">
      <c r="A7" s="18" t="s">
        <v>252</v>
      </c>
      <c r="B7">
        <v>7.4253333333333318</v>
      </c>
      <c r="C7">
        <v>6.6966176470588215</v>
      </c>
      <c r="D7">
        <v>8.1640259740259769</v>
      </c>
      <c r="E7">
        <v>7.0915384615384633</v>
      </c>
    </row>
    <row r="10" spans="1:32" x14ac:dyDescent="0.35">
      <c r="A10" s="17" t="s">
        <v>255</v>
      </c>
      <c r="B10" s="17" t="s">
        <v>253</v>
      </c>
    </row>
    <row r="11" spans="1:32" x14ac:dyDescent="0.35">
      <c r="A11" s="17" t="s">
        <v>251</v>
      </c>
      <c r="B11" t="s">
        <v>17</v>
      </c>
      <c r="C11" t="s">
        <v>22</v>
      </c>
      <c r="D11" t="s">
        <v>19</v>
      </c>
      <c r="E11" t="s">
        <v>24</v>
      </c>
      <c r="AB11" s="17" t="s">
        <v>262</v>
      </c>
      <c r="AC11" s="17" t="s">
        <v>253</v>
      </c>
    </row>
    <row r="12" spans="1:32" x14ac:dyDescent="0.35">
      <c r="A12" s="18" t="s">
        <v>16</v>
      </c>
      <c r="B12">
        <v>45.39879999999998</v>
      </c>
      <c r="C12">
        <v>49.96290322580645</v>
      </c>
      <c r="D12">
        <v>43.820370370370348</v>
      </c>
      <c r="E12">
        <v>47.275128205128198</v>
      </c>
      <c r="AB12" s="17" t="s">
        <v>251</v>
      </c>
      <c r="AC12" t="s">
        <v>17</v>
      </c>
      <c r="AD12" t="s">
        <v>22</v>
      </c>
      <c r="AE12" t="s">
        <v>19</v>
      </c>
      <c r="AF12" t="s">
        <v>24</v>
      </c>
    </row>
    <row r="13" spans="1:32" x14ac:dyDescent="0.35">
      <c r="A13" s="18" t="s">
        <v>21</v>
      </c>
      <c r="B13">
        <v>45.054511627906976</v>
      </c>
      <c r="C13">
        <v>48.382702702702701</v>
      </c>
      <c r="D13">
        <v>43.126575342465763</v>
      </c>
      <c r="E13">
        <v>50.684423076923082</v>
      </c>
      <c r="AB13" s="18" t="s">
        <v>16</v>
      </c>
      <c r="AC13">
        <v>82</v>
      </c>
      <c r="AD13">
        <v>8</v>
      </c>
      <c r="AE13">
        <v>63</v>
      </c>
      <c r="AF13">
        <v>4</v>
      </c>
    </row>
    <row r="14" spans="1:32" x14ac:dyDescent="0.35">
      <c r="A14" s="18" t="s">
        <v>252</v>
      </c>
      <c r="B14">
        <v>45.239612903225776</v>
      </c>
      <c r="C14">
        <v>49.103088235294123</v>
      </c>
      <c r="D14">
        <v>43.491493506493512</v>
      </c>
      <c r="E14">
        <v>49.22329670329669</v>
      </c>
      <c r="AB14" s="18" t="s">
        <v>21</v>
      </c>
      <c r="AC14">
        <v>61</v>
      </c>
      <c r="AD14">
        <v>10</v>
      </c>
      <c r="AE14">
        <v>61</v>
      </c>
      <c r="AF14">
        <v>8</v>
      </c>
    </row>
    <row r="15" spans="1:32" x14ac:dyDescent="0.35">
      <c r="AB15" s="18" t="s">
        <v>252</v>
      </c>
      <c r="AC15">
        <v>143</v>
      </c>
      <c r="AD15">
        <v>18</v>
      </c>
      <c r="AE15">
        <v>124</v>
      </c>
      <c r="AF15">
        <v>12</v>
      </c>
    </row>
    <row r="17" spans="1:5" x14ac:dyDescent="0.35">
      <c r="A17" s="17" t="s">
        <v>256</v>
      </c>
      <c r="B17" s="17" t="s">
        <v>253</v>
      </c>
    </row>
    <row r="18" spans="1:5" x14ac:dyDescent="0.35">
      <c r="A18" s="17" t="s">
        <v>251</v>
      </c>
      <c r="B18" t="s">
        <v>17</v>
      </c>
      <c r="C18" t="s">
        <v>22</v>
      </c>
      <c r="D18" t="s">
        <v>19</v>
      </c>
      <c r="E18" t="s">
        <v>24</v>
      </c>
    </row>
    <row r="19" spans="1:5" x14ac:dyDescent="0.35">
      <c r="A19" s="18" t="s">
        <v>16</v>
      </c>
      <c r="B19">
        <v>153.55852000000004</v>
      </c>
      <c r="C19">
        <v>145.18693548387094</v>
      </c>
      <c r="D19">
        <v>160.83938271604941</v>
      </c>
      <c r="E19">
        <v>143.28358974358972</v>
      </c>
    </row>
    <row r="20" spans="1:5" x14ac:dyDescent="0.35">
      <c r="A20" s="18" t="s">
        <v>21</v>
      </c>
      <c r="B20">
        <v>149.77279069767437</v>
      </c>
      <c r="C20">
        <v>145.254054054054</v>
      </c>
      <c r="D20">
        <v>153.48616438356166</v>
      </c>
      <c r="E20">
        <v>143.90769230769234</v>
      </c>
    </row>
    <row r="21" spans="1:5" x14ac:dyDescent="0.35">
      <c r="A21" s="18" t="s">
        <v>252</v>
      </c>
      <c r="B21">
        <v>151.80812903225822</v>
      </c>
      <c r="C21">
        <v>145.22345588235297</v>
      </c>
      <c r="D21">
        <v>157.35376623376629</v>
      </c>
      <c r="E21">
        <v>143.64021978021978</v>
      </c>
    </row>
    <row r="24" spans="1:5" x14ac:dyDescent="0.35">
      <c r="A24" s="17" t="s">
        <v>257</v>
      </c>
      <c r="B24" s="17" t="s">
        <v>253</v>
      </c>
    </row>
    <row r="25" spans="1:5" x14ac:dyDescent="0.35">
      <c r="A25" s="17" t="s">
        <v>251</v>
      </c>
      <c r="B25" t="s">
        <v>17</v>
      </c>
      <c r="C25" t="s">
        <v>22</v>
      </c>
      <c r="D25" t="s">
        <v>19</v>
      </c>
      <c r="E25" t="s">
        <v>24</v>
      </c>
    </row>
    <row r="26" spans="1:5" x14ac:dyDescent="0.35">
      <c r="A26" s="18" t="s">
        <v>16</v>
      </c>
      <c r="B26">
        <v>183.91707999999997</v>
      </c>
      <c r="C26">
        <v>167.17854838709684</v>
      </c>
      <c r="D26">
        <v>197.93938271604938</v>
      </c>
      <c r="E26">
        <v>173.26179487179488</v>
      </c>
    </row>
    <row r="27" spans="1:5" x14ac:dyDescent="0.35">
      <c r="A27" s="18" t="s">
        <v>21</v>
      </c>
      <c r="B27">
        <v>192.10483720930242</v>
      </c>
      <c r="C27">
        <v>176.02256756756751</v>
      </c>
      <c r="D27">
        <v>193.47342465753425</v>
      </c>
      <c r="E27">
        <v>182.28596153846149</v>
      </c>
    </row>
    <row r="28" spans="1:5" x14ac:dyDescent="0.35">
      <c r="A28" s="18" t="s">
        <v>252</v>
      </c>
      <c r="B28">
        <v>187.70281720430083</v>
      </c>
      <c r="C28">
        <v>171.99073529411763</v>
      </c>
      <c r="D28">
        <v>195.82240259740252</v>
      </c>
      <c r="E28">
        <v>178.41846153846157</v>
      </c>
    </row>
    <row r="32" spans="1:5" x14ac:dyDescent="0.35">
      <c r="A32" s="17" t="s">
        <v>258</v>
      </c>
      <c r="B32" s="17" t="s">
        <v>253</v>
      </c>
    </row>
    <row r="33" spans="1:5" x14ac:dyDescent="0.35">
      <c r="A33" s="17" t="s">
        <v>251</v>
      </c>
      <c r="B33" t="s">
        <v>17</v>
      </c>
      <c r="C33" t="s">
        <v>22</v>
      </c>
      <c r="D33" t="s">
        <v>19</v>
      </c>
      <c r="E33" t="s">
        <v>24</v>
      </c>
    </row>
    <row r="34" spans="1:5" x14ac:dyDescent="0.35">
      <c r="A34" s="18" t="s">
        <v>16</v>
      </c>
      <c r="B34">
        <v>4.3176400000000008</v>
      </c>
      <c r="C34">
        <v>3.506612903225808</v>
      </c>
      <c r="D34">
        <v>4.960308641975308</v>
      </c>
      <c r="E34">
        <v>3.7707692307692295</v>
      </c>
    </row>
    <row r="35" spans="1:5" x14ac:dyDescent="0.35">
      <c r="A35" s="18" t="s">
        <v>21</v>
      </c>
      <c r="B35">
        <v>4.5092093023255835</v>
      </c>
      <c r="C35">
        <v>3.8722972972972989</v>
      </c>
      <c r="D35">
        <v>4.6954109589041098</v>
      </c>
      <c r="E35">
        <v>3.7167307692307707</v>
      </c>
    </row>
    <row r="36" spans="1:5" x14ac:dyDescent="0.35">
      <c r="A36" s="18" t="s">
        <v>252</v>
      </c>
      <c r="B36">
        <v>4.4062150537634404</v>
      </c>
      <c r="C36">
        <v>3.705588235294119</v>
      </c>
      <c r="D36">
        <v>4.8347402597402587</v>
      </c>
      <c r="E36">
        <v>3.7398901098901098</v>
      </c>
    </row>
    <row r="41" spans="1:5" x14ac:dyDescent="0.35">
      <c r="A41" s="17" t="s">
        <v>259</v>
      </c>
      <c r="B41" s="17" t="s">
        <v>253</v>
      </c>
    </row>
    <row r="42" spans="1:5" x14ac:dyDescent="0.35">
      <c r="A42" s="17" t="s">
        <v>251</v>
      </c>
      <c r="B42" t="s">
        <v>17</v>
      </c>
      <c r="C42" t="s">
        <v>22</v>
      </c>
      <c r="D42" t="s">
        <v>19</v>
      </c>
      <c r="E42" t="s">
        <v>24</v>
      </c>
    </row>
    <row r="43" spans="1:5" x14ac:dyDescent="0.35">
      <c r="A43" s="18" t="s">
        <v>16</v>
      </c>
      <c r="B43">
        <v>8.444640000000005</v>
      </c>
      <c r="C43">
        <v>6.7996774193548397</v>
      </c>
      <c r="D43">
        <v>9.6990123456790087</v>
      </c>
      <c r="E43">
        <v>6.956153846153847</v>
      </c>
    </row>
    <row r="44" spans="1:5" x14ac:dyDescent="0.35">
      <c r="A44" s="18" t="s">
        <v>21</v>
      </c>
      <c r="B44">
        <v>8.1504651162790687</v>
      </c>
      <c r="C44">
        <v>6.7958108108108117</v>
      </c>
      <c r="D44">
        <v>9.158150684931508</v>
      </c>
      <c r="E44">
        <v>7.3459615384615375</v>
      </c>
    </row>
    <row r="45" spans="1:5" x14ac:dyDescent="0.35">
      <c r="A45" s="18" t="s">
        <v>252</v>
      </c>
      <c r="B45">
        <v>8.3086236559139852</v>
      </c>
      <c r="C45">
        <v>6.7975735294117641</v>
      </c>
      <c r="D45">
        <v>9.442629870129867</v>
      </c>
      <c r="E45">
        <v>7.1789010989010986</v>
      </c>
    </row>
    <row r="48" spans="1:5" x14ac:dyDescent="0.35">
      <c r="A48" s="17" t="s">
        <v>260</v>
      </c>
      <c r="B48" s="17" t="s">
        <v>253</v>
      </c>
    </row>
    <row r="49" spans="1:5" x14ac:dyDescent="0.35">
      <c r="A49" s="17" t="s">
        <v>251</v>
      </c>
      <c r="B49" t="s">
        <v>17</v>
      </c>
      <c r="C49" t="s">
        <v>22</v>
      </c>
      <c r="D49" t="s">
        <v>19</v>
      </c>
      <c r="E49" t="s">
        <v>24</v>
      </c>
    </row>
    <row r="50" spans="1:5" x14ac:dyDescent="0.35">
      <c r="A50" s="18" t="s">
        <v>16</v>
      </c>
      <c r="B50">
        <v>2.0639599999999998</v>
      </c>
      <c r="C50">
        <v>1.6619354838709672</v>
      </c>
      <c r="D50">
        <v>2.3711728395061731</v>
      </c>
      <c r="E50">
        <v>1.6994871794871789</v>
      </c>
    </row>
    <row r="51" spans="1:5" x14ac:dyDescent="0.35">
      <c r="A51" s="18" t="s">
        <v>21</v>
      </c>
      <c r="B51">
        <v>1.9922790697674413</v>
      </c>
      <c r="C51">
        <v>1.661081081081081</v>
      </c>
      <c r="D51">
        <v>2.2387671232876722</v>
      </c>
      <c r="E51">
        <v>1.7951923076923075</v>
      </c>
    </row>
    <row r="52" spans="1:5" x14ac:dyDescent="0.35">
      <c r="A52" s="18" t="s">
        <v>252</v>
      </c>
      <c r="B52">
        <v>2.0308172043010737</v>
      </c>
      <c r="C52">
        <v>1.661470588235294</v>
      </c>
      <c r="D52">
        <v>2.308409090909092</v>
      </c>
      <c r="E52">
        <v>1.7541758241758241</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E8B0C-A632-44DC-A0F4-AB323C9309B7}">
  <dimension ref="A1:F17"/>
  <sheetViews>
    <sheetView zoomScale="92" workbookViewId="0">
      <selection activeCell="J20" sqref="J20"/>
    </sheetView>
  </sheetViews>
  <sheetFormatPr defaultRowHeight="14.5" x14ac:dyDescent="0.35"/>
  <cols>
    <col min="1" max="1" width="14.81640625" bestFit="1" customWidth="1"/>
    <col min="2" max="2" width="15.26953125" bestFit="1" customWidth="1"/>
    <col min="3" max="3" width="5" bestFit="1" customWidth="1"/>
    <col min="4" max="4" width="6.453125" bestFit="1" customWidth="1"/>
    <col min="5" max="5" width="4.90625" bestFit="1" customWidth="1"/>
    <col min="6" max="6" width="10.7265625" bestFit="1" customWidth="1"/>
  </cols>
  <sheetData>
    <row r="1" spans="1:6" x14ac:dyDescent="0.35">
      <c r="A1" s="17" t="s">
        <v>3</v>
      </c>
      <c r="B1" t="s">
        <v>21</v>
      </c>
    </row>
    <row r="3" spans="1:6" x14ac:dyDescent="0.35">
      <c r="A3" s="17" t="s">
        <v>273</v>
      </c>
      <c r="B3" s="17" t="s">
        <v>253</v>
      </c>
    </row>
    <row r="4" spans="1:6" x14ac:dyDescent="0.35">
      <c r="A4" s="17" t="s">
        <v>251</v>
      </c>
      <c r="B4" t="s">
        <v>17</v>
      </c>
      <c r="C4" t="s">
        <v>22</v>
      </c>
      <c r="D4" t="s">
        <v>19</v>
      </c>
      <c r="E4" t="s">
        <v>24</v>
      </c>
      <c r="F4" t="s">
        <v>252</v>
      </c>
    </row>
    <row r="5" spans="1:6" x14ac:dyDescent="0.35">
      <c r="A5" s="18" t="s">
        <v>20</v>
      </c>
      <c r="B5">
        <v>139</v>
      </c>
      <c r="C5">
        <v>33</v>
      </c>
      <c r="D5">
        <v>100</v>
      </c>
      <c r="E5">
        <v>27</v>
      </c>
      <c r="F5">
        <v>299</v>
      </c>
    </row>
    <row r="6" spans="1:6" x14ac:dyDescent="0.35">
      <c r="A6" s="18" t="s">
        <v>23</v>
      </c>
      <c r="B6">
        <v>28</v>
      </c>
      <c r="C6">
        <v>21</v>
      </c>
      <c r="D6">
        <v>16</v>
      </c>
      <c r="E6">
        <v>11</v>
      </c>
      <c r="F6">
        <v>76</v>
      </c>
    </row>
    <row r="7" spans="1:6" x14ac:dyDescent="0.35">
      <c r="A7" s="18" t="s">
        <v>18</v>
      </c>
      <c r="B7">
        <v>48</v>
      </c>
      <c r="C7">
        <v>20</v>
      </c>
      <c r="D7">
        <v>30</v>
      </c>
      <c r="E7">
        <v>14</v>
      </c>
      <c r="F7">
        <v>112</v>
      </c>
    </row>
    <row r="8" spans="1:6" x14ac:dyDescent="0.35">
      <c r="A8" s="18" t="s">
        <v>252</v>
      </c>
      <c r="B8">
        <v>215</v>
      </c>
      <c r="C8">
        <v>74</v>
      </c>
      <c r="D8">
        <v>146</v>
      </c>
      <c r="E8">
        <v>52</v>
      </c>
      <c r="F8">
        <v>487</v>
      </c>
    </row>
    <row r="10" spans="1:6" x14ac:dyDescent="0.35">
      <c r="A10" s="17" t="s">
        <v>3</v>
      </c>
      <c r="B10" t="s">
        <v>16</v>
      </c>
    </row>
    <row r="12" spans="1:6" x14ac:dyDescent="0.35">
      <c r="A12" s="17" t="s">
        <v>273</v>
      </c>
      <c r="B12" s="17" t="s">
        <v>253</v>
      </c>
    </row>
    <row r="13" spans="1:6" x14ac:dyDescent="0.35">
      <c r="A13" s="17" t="s">
        <v>251</v>
      </c>
      <c r="B13" t="s">
        <v>17</v>
      </c>
      <c r="C13" t="s">
        <v>22</v>
      </c>
      <c r="D13" t="s">
        <v>19</v>
      </c>
      <c r="E13" t="s">
        <v>24</v>
      </c>
      <c r="F13" t="s">
        <v>252</v>
      </c>
    </row>
    <row r="14" spans="1:6" x14ac:dyDescent="0.35">
      <c r="A14" s="18" t="s">
        <v>20</v>
      </c>
      <c r="B14">
        <v>158</v>
      </c>
      <c r="C14">
        <v>34</v>
      </c>
      <c r="D14">
        <v>113</v>
      </c>
      <c r="E14">
        <v>21</v>
      </c>
      <c r="F14">
        <v>326</v>
      </c>
    </row>
    <row r="15" spans="1:6" x14ac:dyDescent="0.35">
      <c r="A15" s="18" t="s">
        <v>23</v>
      </c>
      <c r="B15">
        <v>26</v>
      </c>
      <c r="C15">
        <v>16</v>
      </c>
      <c r="D15">
        <v>10</v>
      </c>
      <c r="E15">
        <v>8</v>
      </c>
      <c r="F15">
        <v>60</v>
      </c>
    </row>
    <row r="16" spans="1:6" x14ac:dyDescent="0.35">
      <c r="A16" s="18" t="s">
        <v>18</v>
      </c>
      <c r="B16">
        <v>66</v>
      </c>
      <c r="C16">
        <v>12</v>
      </c>
      <c r="D16">
        <v>39</v>
      </c>
      <c r="E16">
        <v>10</v>
      </c>
      <c r="F16">
        <v>127</v>
      </c>
    </row>
    <row r="17" spans="1:6" x14ac:dyDescent="0.35">
      <c r="A17" s="18" t="s">
        <v>252</v>
      </c>
      <c r="B17">
        <v>250</v>
      </c>
      <c r="C17">
        <v>62</v>
      </c>
      <c r="D17">
        <v>162</v>
      </c>
      <c r="E17">
        <v>39</v>
      </c>
      <c r="F17">
        <v>513</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abSelected="1" workbookViewId="0">
      <selection activeCell="K11" sqref="K11"/>
    </sheetView>
  </sheetViews>
  <sheetFormatPr defaultRowHeight="14.5" x14ac:dyDescent="0.35"/>
  <cols>
    <col min="11" max="11" width="17.1796875" customWidth="1"/>
    <col min="12" max="12" width="12.54296875" customWidth="1"/>
    <col min="14" max="14" width="16.81640625" customWidth="1"/>
  </cols>
  <sheetData>
    <row r="1" spans="1:15" x14ac:dyDescent="0.35">
      <c r="A1" t="s">
        <v>0</v>
      </c>
      <c r="B1" t="s">
        <v>1</v>
      </c>
      <c r="C1" t="s">
        <v>2</v>
      </c>
      <c r="D1" t="s">
        <v>3</v>
      </c>
      <c r="E1" t="s">
        <v>4</v>
      </c>
      <c r="F1" t="s">
        <v>5</v>
      </c>
      <c r="G1" t="s">
        <v>6</v>
      </c>
      <c r="H1" t="s">
        <v>7</v>
      </c>
      <c r="I1" t="s">
        <v>8</v>
      </c>
      <c r="J1" t="s">
        <v>9</v>
      </c>
      <c r="K1" t="s">
        <v>10</v>
      </c>
      <c r="L1" t="s">
        <v>11</v>
      </c>
      <c r="M1" t="s">
        <v>12</v>
      </c>
      <c r="N1" t="s">
        <v>13</v>
      </c>
      <c r="O1" t="s">
        <v>14</v>
      </c>
    </row>
    <row r="2" spans="1:15" x14ac:dyDescent="0.35">
      <c r="A2" t="s">
        <v>15</v>
      </c>
      <c r="B2">
        <v>2005</v>
      </c>
      <c r="C2">
        <v>18</v>
      </c>
      <c r="D2" t="s">
        <v>16</v>
      </c>
      <c r="E2" t="s">
        <v>24</v>
      </c>
      <c r="F2">
        <v>4.21</v>
      </c>
      <c r="G2">
        <v>45.77</v>
      </c>
      <c r="H2">
        <v>131.43</v>
      </c>
      <c r="I2">
        <v>202.62</v>
      </c>
      <c r="J2">
        <v>4.43</v>
      </c>
      <c r="K2">
        <v>2.84</v>
      </c>
      <c r="L2">
        <v>0.69</v>
      </c>
      <c r="M2">
        <v>0</v>
      </c>
      <c r="N2">
        <v>0</v>
      </c>
      <c r="O2" t="s">
        <v>20</v>
      </c>
    </row>
    <row r="3" spans="1:15" x14ac:dyDescent="0.35">
      <c r="A3" t="s">
        <v>15</v>
      </c>
      <c r="B3">
        <v>2005</v>
      </c>
      <c r="C3">
        <v>3</v>
      </c>
      <c r="D3" t="s">
        <v>16</v>
      </c>
      <c r="E3" t="s">
        <v>22</v>
      </c>
      <c r="F3">
        <v>4.87</v>
      </c>
      <c r="G3">
        <v>47.01</v>
      </c>
      <c r="H3">
        <v>129.66</v>
      </c>
      <c r="I3">
        <v>198.1</v>
      </c>
      <c r="J3">
        <v>4.21</v>
      </c>
      <c r="K3">
        <v>7.04</v>
      </c>
      <c r="L3">
        <v>1.72</v>
      </c>
      <c r="M3">
        <v>0</v>
      </c>
      <c r="N3">
        <v>0</v>
      </c>
      <c r="O3" t="s">
        <v>23</v>
      </c>
    </row>
    <row r="4" spans="1:15" x14ac:dyDescent="0.35">
      <c r="A4" t="s">
        <v>15</v>
      </c>
      <c r="B4">
        <v>2005</v>
      </c>
      <c r="C4">
        <v>13</v>
      </c>
      <c r="D4" t="s">
        <v>16</v>
      </c>
      <c r="E4" t="s">
        <v>24</v>
      </c>
      <c r="F4">
        <v>6.97</v>
      </c>
      <c r="G4">
        <v>51.18</v>
      </c>
      <c r="H4">
        <v>159.19999999999999</v>
      </c>
      <c r="I4">
        <v>158.18</v>
      </c>
      <c r="J4">
        <v>3.09</v>
      </c>
      <c r="K4">
        <v>9.0399999999999991</v>
      </c>
      <c r="L4">
        <v>2.21</v>
      </c>
      <c r="M4">
        <v>1</v>
      </c>
      <c r="N4">
        <v>0</v>
      </c>
      <c r="O4" t="s">
        <v>18</v>
      </c>
    </row>
    <row r="5" spans="1:15" x14ac:dyDescent="0.35">
      <c r="A5" t="s">
        <v>15</v>
      </c>
      <c r="B5">
        <v>2005</v>
      </c>
      <c r="C5">
        <v>4</v>
      </c>
      <c r="D5" t="s">
        <v>16</v>
      </c>
      <c r="E5" t="s">
        <v>22</v>
      </c>
      <c r="F5">
        <v>7.08</v>
      </c>
      <c r="G5">
        <v>39.76</v>
      </c>
      <c r="H5">
        <v>106.19</v>
      </c>
      <c r="I5">
        <v>177.66</v>
      </c>
      <c r="J5">
        <v>4.47</v>
      </c>
      <c r="K5">
        <v>6.81</v>
      </c>
      <c r="L5">
        <v>1.66</v>
      </c>
      <c r="M5">
        <v>1</v>
      </c>
      <c r="N5">
        <v>0</v>
      </c>
      <c r="O5" t="s">
        <v>23</v>
      </c>
    </row>
    <row r="6" spans="1:15" x14ac:dyDescent="0.35">
      <c r="A6" t="s">
        <v>15</v>
      </c>
      <c r="B6">
        <v>2005</v>
      </c>
      <c r="C6">
        <v>29</v>
      </c>
      <c r="D6" t="s">
        <v>16</v>
      </c>
      <c r="E6" t="s">
        <v>17</v>
      </c>
      <c r="F6">
        <v>3.88</v>
      </c>
      <c r="G6">
        <v>50.47</v>
      </c>
      <c r="H6">
        <v>96.7</v>
      </c>
      <c r="I6">
        <v>158.09</v>
      </c>
      <c r="J6">
        <v>3.13</v>
      </c>
      <c r="K6">
        <v>6.87</v>
      </c>
      <c r="L6">
        <v>1.68</v>
      </c>
      <c r="M6">
        <v>0</v>
      </c>
      <c r="N6">
        <v>0</v>
      </c>
      <c r="O6" t="s">
        <v>23</v>
      </c>
    </row>
    <row r="7" spans="1:15" x14ac:dyDescent="0.35">
      <c r="A7" t="s">
        <v>15</v>
      </c>
      <c r="B7">
        <v>2005</v>
      </c>
      <c r="C7">
        <v>85</v>
      </c>
      <c r="D7" t="s">
        <v>16</v>
      </c>
      <c r="E7" t="s">
        <v>19</v>
      </c>
      <c r="F7">
        <v>10.210000000000001</v>
      </c>
      <c r="G7">
        <v>20.420000000000002</v>
      </c>
      <c r="H7">
        <v>111.99</v>
      </c>
      <c r="I7">
        <v>175.32</v>
      </c>
      <c r="J7">
        <v>8.59</v>
      </c>
      <c r="K7">
        <v>8.34</v>
      </c>
      <c r="L7">
        <v>2.04</v>
      </c>
      <c r="M7">
        <v>1</v>
      </c>
      <c r="N7">
        <v>0</v>
      </c>
      <c r="O7" t="s">
        <v>23</v>
      </c>
    </row>
    <row r="8" spans="1:15" x14ac:dyDescent="0.35">
      <c r="A8" t="s">
        <v>15</v>
      </c>
      <c r="B8">
        <v>2005</v>
      </c>
      <c r="C8">
        <v>56</v>
      </c>
      <c r="D8" t="s">
        <v>16</v>
      </c>
      <c r="E8" t="s">
        <v>17</v>
      </c>
      <c r="F8">
        <v>6.43</v>
      </c>
      <c r="G8">
        <v>44.19</v>
      </c>
      <c r="H8">
        <v>211.17</v>
      </c>
      <c r="I8">
        <v>147.09</v>
      </c>
      <c r="J8">
        <v>3.33</v>
      </c>
      <c r="K8">
        <v>7.07</v>
      </c>
      <c r="L8">
        <v>1.73</v>
      </c>
      <c r="M8">
        <v>0</v>
      </c>
      <c r="N8">
        <v>0</v>
      </c>
      <c r="O8" t="s">
        <v>20</v>
      </c>
    </row>
    <row r="9" spans="1:15" x14ac:dyDescent="0.35">
      <c r="A9" t="s">
        <v>15</v>
      </c>
      <c r="B9">
        <v>2005</v>
      </c>
      <c r="C9">
        <v>79</v>
      </c>
      <c r="D9" t="s">
        <v>16</v>
      </c>
      <c r="E9" t="s">
        <v>19</v>
      </c>
      <c r="F9">
        <v>7.7</v>
      </c>
      <c r="G9">
        <v>33.99</v>
      </c>
      <c r="H9">
        <v>181.38</v>
      </c>
      <c r="I9">
        <v>212.03</v>
      </c>
      <c r="J9">
        <v>6.24</v>
      </c>
      <c r="K9">
        <v>9.5399999999999991</v>
      </c>
      <c r="L9">
        <v>2.33</v>
      </c>
      <c r="M9">
        <v>1</v>
      </c>
      <c r="N9">
        <v>0</v>
      </c>
      <c r="O9" t="s">
        <v>20</v>
      </c>
    </row>
    <row r="10" spans="1:15" x14ac:dyDescent="0.35">
      <c r="A10" t="s">
        <v>15</v>
      </c>
      <c r="B10">
        <v>2005</v>
      </c>
      <c r="C10">
        <v>32</v>
      </c>
      <c r="D10" t="s">
        <v>16</v>
      </c>
      <c r="E10" t="s">
        <v>17</v>
      </c>
      <c r="F10">
        <v>7.7</v>
      </c>
      <c r="G10">
        <v>43.99</v>
      </c>
      <c r="H10">
        <v>176.04</v>
      </c>
      <c r="I10">
        <v>214.36</v>
      </c>
      <c r="J10">
        <v>4.87</v>
      </c>
      <c r="K10">
        <v>5.48</v>
      </c>
      <c r="L10">
        <v>1.34</v>
      </c>
      <c r="M10">
        <v>1</v>
      </c>
      <c r="N10">
        <v>0</v>
      </c>
      <c r="O10" t="s">
        <v>20</v>
      </c>
    </row>
    <row r="11" spans="1:15" x14ac:dyDescent="0.35">
      <c r="A11" t="s">
        <v>15</v>
      </c>
      <c r="B11">
        <v>2005</v>
      </c>
      <c r="C11">
        <v>53</v>
      </c>
      <c r="D11" t="s">
        <v>16</v>
      </c>
      <c r="E11" t="s">
        <v>17</v>
      </c>
      <c r="F11">
        <v>7.71</v>
      </c>
      <c r="G11">
        <v>33.07</v>
      </c>
      <c r="H11">
        <v>112.19</v>
      </c>
      <c r="I11">
        <v>141.06</v>
      </c>
      <c r="J11">
        <v>4.26</v>
      </c>
      <c r="K11">
        <v>7.69</v>
      </c>
      <c r="L11">
        <v>1.88</v>
      </c>
      <c r="M11">
        <v>1</v>
      </c>
      <c r="N11">
        <v>0</v>
      </c>
      <c r="O11" t="s">
        <v>23</v>
      </c>
    </row>
    <row r="12" spans="1:15" x14ac:dyDescent="0.35">
      <c r="A12" t="s">
        <v>15</v>
      </c>
      <c r="B12">
        <v>2005</v>
      </c>
      <c r="C12">
        <v>35</v>
      </c>
      <c r="D12" t="s">
        <v>16</v>
      </c>
      <c r="E12" t="s">
        <v>17</v>
      </c>
      <c r="F12">
        <v>7.17</v>
      </c>
      <c r="G12">
        <v>43.29</v>
      </c>
      <c r="H12">
        <v>138.15</v>
      </c>
      <c r="I12">
        <v>185.2</v>
      </c>
      <c r="J12">
        <v>4.28</v>
      </c>
      <c r="K12">
        <v>4.95</v>
      </c>
      <c r="L12">
        <v>1.21</v>
      </c>
      <c r="M12">
        <v>1</v>
      </c>
      <c r="N12">
        <v>0</v>
      </c>
      <c r="O12" t="s">
        <v>18</v>
      </c>
    </row>
    <row r="13" spans="1:15" x14ac:dyDescent="0.35">
      <c r="A13" t="s">
        <v>15</v>
      </c>
      <c r="B13">
        <v>2005</v>
      </c>
      <c r="C13">
        <v>53</v>
      </c>
      <c r="D13" t="s">
        <v>16</v>
      </c>
      <c r="E13" t="s">
        <v>17</v>
      </c>
      <c r="F13">
        <v>7.64</v>
      </c>
      <c r="G13">
        <v>43.68</v>
      </c>
      <c r="H13">
        <v>147.19</v>
      </c>
      <c r="I13">
        <v>218.34</v>
      </c>
      <c r="J13">
        <v>5</v>
      </c>
      <c r="K13">
        <v>10.01</v>
      </c>
      <c r="L13">
        <v>2.4500000000000002</v>
      </c>
      <c r="M13">
        <v>1</v>
      </c>
      <c r="N13">
        <v>0</v>
      </c>
      <c r="O13" t="s">
        <v>20</v>
      </c>
    </row>
    <row r="14" spans="1:15" x14ac:dyDescent="0.35">
      <c r="A14" t="s">
        <v>15</v>
      </c>
      <c r="B14">
        <v>2005</v>
      </c>
      <c r="C14">
        <v>36</v>
      </c>
      <c r="D14" t="s">
        <v>16</v>
      </c>
      <c r="E14" t="s">
        <v>17</v>
      </c>
      <c r="F14">
        <v>7.53</v>
      </c>
      <c r="G14">
        <v>20.77</v>
      </c>
      <c r="H14">
        <v>142.93</v>
      </c>
      <c r="I14">
        <v>173.99</v>
      </c>
      <c r="J14">
        <v>8.3800000000000008</v>
      </c>
      <c r="K14">
        <v>7.25</v>
      </c>
      <c r="L14">
        <v>1.77</v>
      </c>
      <c r="M14">
        <v>1</v>
      </c>
      <c r="N14">
        <v>0</v>
      </c>
      <c r="O14" t="s">
        <v>18</v>
      </c>
    </row>
    <row r="15" spans="1:15" x14ac:dyDescent="0.35">
      <c r="A15" t="s">
        <v>15</v>
      </c>
      <c r="B15">
        <v>2005</v>
      </c>
      <c r="C15">
        <v>36</v>
      </c>
      <c r="D15" t="s">
        <v>16</v>
      </c>
      <c r="E15" t="s">
        <v>17</v>
      </c>
      <c r="F15">
        <v>7.88</v>
      </c>
      <c r="G15">
        <v>36.6</v>
      </c>
      <c r="H15">
        <v>136.44999999999999</v>
      </c>
      <c r="I15">
        <v>132.24</v>
      </c>
      <c r="J15">
        <v>3.61</v>
      </c>
      <c r="K15">
        <v>4.53</v>
      </c>
      <c r="L15">
        <v>1.1100000000000001</v>
      </c>
      <c r="M15">
        <v>1</v>
      </c>
      <c r="N15">
        <v>0</v>
      </c>
      <c r="O15" t="s">
        <v>18</v>
      </c>
    </row>
    <row r="16" spans="1:15" x14ac:dyDescent="0.35">
      <c r="A16" t="s">
        <v>15</v>
      </c>
      <c r="B16">
        <v>2005</v>
      </c>
      <c r="C16">
        <v>24</v>
      </c>
      <c r="D16" t="s">
        <v>16</v>
      </c>
      <c r="E16" t="s">
        <v>17</v>
      </c>
      <c r="F16">
        <v>6.81</v>
      </c>
      <c r="G16">
        <v>37.54</v>
      </c>
      <c r="H16">
        <v>116.6</v>
      </c>
      <c r="I16">
        <v>232.2</v>
      </c>
      <c r="J16">
        <v>6.19</v>
      </c>
      <c r="K16">
        <v>4.45</v>
      </c>
      <c r="L16">
        <v>1.0900000000000001</v>
      </c>
      <c r="M16">
        <v>1</v>
      </c>
      <c r="N16">
        <v>0</v>
      </c>
      <c r="O16" t="s">
        <v>20</v>
      </c>
    </row>
    <row r="17" spans="1:15" x14ac:dyDescent="0.35">
      <c r="A17" t="s">
        <v>15</v>
      </c>
      <c r="B17">
        <v>2005</v>
      </c>
      <c r="C17">
        <v>33</v>
      </c>
      <c r="D17" t="s">
        <v>16</v>
      </c>
      <c r="E17" t="s">
        <v>17</v>
      </c>
      <c r="F17">
        <v>6</v>
      </c>
      <c r="G17">
        <v>53.55</v>
      </c>
      <c r="H17">
        <v>157.36000000000001</v>
      </c>
      <c r="I17">
        <v>190.5</v>
      </c>
      <c r="J17">
        <v>3.56</v>
      </c>
      <c r="K17">
        <v>4.9400000000000004</v>
      </c>
      <c r="L17">
        <v>1.21</v>
      </c>
      <c r="M17">
        <v>0</v>
      </c>
      <c r="N17">
        <v>0</v>
      </c>
      <c r="O17" t="s">
        <v>18</v>
      </c>
    </row>
    <row r="18" spans="1:15" x14ac:dyDescent="0.35">
      <c r="A18" t="s">
        <v>15</v>
      </c>
      <c r="B18">
        <v>2005</v>
      </c>
      <c r="C18">
        <v>54</v>
      </c>
      <c r="D18" t="s">
        <v>16</v>
      </c>
      <c r="E18" t="s">
        <v>17</v>
      </c>
      <c r="F18">
        <v>7.14</v>
      </c>
      <c r="G18">
        <v>45.59</v>
      </c>
      <c r="H18">
        <v>159.18</v>
      </c>
      <c r="I18">
        <v>167.61</v>
      </c>
      <c r="J18">
        <v>3.68</v>
      </c>
      <c r="K18">
        <v>5.55</v>
      </c>
      <c r="L18">
        <v>1.36</v>
      </c>
      <c r="M18">
        <v>1</v>
      </c>
      <c r="N18">
        <v>0</v>
      </c>
      <c r="O18" t="s">
        <v>18</v>
      </c>
    </row>
    <row r="19" spans="1:15" x14ac:dyDescent="0.35">
      <c r="A19" t="s">
        <v>15</v>
      </c>
      <c r="B19">
        <v>2005</v>
      </c>
      <c r="C19">
        <v>74</v>
      </c>
      <c r="D19" t="s">
        <v>21</v>
      </c>
      <c r="E19" t="s">
        <v>19</v>
      </c>
      <c r="F19">
        <v>8.9600000000000009</v>
      </c>
      <c r="G19">
        <v>41.27</v>
      </c>
      <c r="H19">
        <v>171.44</v>
      </c>
      <c r="I19">
        <v>207.99</v>
      </c>
      <c r="J19">
        <v>5.04</v>
      </c>
      <c r="K19">
        <v>11.45</v>
      </c>
      <c r="L19">
        <v>2.8</v>
      </c>
      <c r="M19">
        <v>1</v>
      </c>
      <c r="N19">
        <v>1</v>
      </c>
      <c r="O19" t="s">
        <v>20</v>
      </c>
    </row>
    <row r="20" spans="1:15" x14ac:dyDescent="0.35">
      <c r="A20" t="s">
        <v>15</v>
      </c>
      <c r="B20">
        <v>2005</v>
      </c>
      <c r="C20">
        <v>82</v>
      </c>
      <c r="D20" t="s">
        <v>16</v>
      </c>
      <c r="E20" t="s">
        <v>19</v>
      </c>
      <c r="F20">
        <v>7.73</v>
      </c>
      <c r="G20">
        <v>59.76</v>
      </c>
      <c r="H20">
        <v>163.44999999999999</v>
      </c>
      <c r="I20">
        <v>191.31</v>
      </c>
      <c r="J20">
        <v>3.2</v>
      </c>
      <c r="K20">
        <v>7.23</v>
      </c>
      <c r="L20">
        <v>1.77</v>
      </c>
      <c r="M20">
        <v>1</v>
      </c>
      <c r="N20">
        <v>0</v>
      </c>
      <c r="O20" t="s">
        <v>20</v>
      </c>
    </row>
    <row r="21" spans="1:15" x14ac:dyDescent="0.35">
      <c r="A21" t="s">
        <v>15</v>
      </c>
      <c r="B21">
        <v>2005</v>
      </c>
      <c r="C21">
        <v>38</v>
      </c>
      <c r="D21" t="s">
        <v>16</v>
      </c>
      <c r="E21" t="s">
        <v>17</v>
      </c>
      <c r="F21">
        <v>6.16</v>
      </c>
      <c r="G21">
        <v>29.33</v>
      </c>
      <c r="H21">
        <v>159.63</v>
      </c>
      <c r="I21">
        <v>249.24</v>
      </c>
      <c r="J21">
        <v>8.5</v>
      </c>
      <c r="K21">
        <v>0.1</v>
      </c>
      <c r="L21">
        <v>0.03</v>
      </c>
      <c r="M21">
        <v>0</v>
      </c>
      <c r="N21">
        <v>0</v>
      </c>
      <c r="O21" t="s">
        <v>20</v>
      </c>
    </row>
    <row r="22" spans="1:15" x14ac:dyDescent="0.35">
      <c r="A22" t="s">
        <v>15</v>
      </c>
      <c r="B22">
        <v>2005</v>
      </c>
      <c r="C22">
        <v>9</v>
      </c>
      <c r="D22" t="s">
        <v>16</v>
      </c>
      <c r="E22" t="s">
        <v>22</v>
      </c>
      <c r="F22">
        <v>4.83</v>
      </c>
      <c r="G22">
        <v>59.53</v>
      </c>
      <c r="H22">
        <v>107.79</v>
      </c>
      <c r="I22">
        <v>116.09</v>
      </c>
      <c r="J22">
        <v>1.95</v>
      </c>
      <c r="K22">
        <v>3.13</v>
      </c>
      <c r="L22">
        <v>0.77</v>
      </c>
      <c r="M22">
        <v>0</v>
      </c>
      <c r="N22">
        <v>0</v>
      </c>
      <c r="O22" t="s">
        <v>23</v>
      </c>
    </row>
    <row r="23" spans="1:15" x14ac:dyDescent="0.35">
      <c r="A23" t="s">
        <v>15</v>
      </c>
      <c r="B23">
        <v>2005</v>
      </c>
      <c r="C23">
        <v>15</v>
      </c>
      <c r="D23" t="s">
        <v>16</v>
      </c>
      <c r="E23" t="s">
        <v>24</v>
      </c>
      <c r="F23">
        <v>4.8</v>
      </c>
      <c r="G23">
        <v>51.18</v>
      </c>
      <c r="H23">
        <v>152.55000000000001</v>
      </c>
      <c r="I23">
        <v>92.75</v>
      </c>
      <c r="J23">
        <v>1.81</v>
      </c>
      <c r="K23">
        <v>4.12</v>
      </c>
      <c r="L23">
        <v>1.01</v>
      </c>
      <c r="M23">
        <v>0</v>
      </c>
      <c r="N23">
        <v>0</v>
      </c>
      <c r="O23" t="s">
        <v>18</v>
      </c>
    </row>
    <row r="24" spans="1:15" x14ac:dyDescent="0.35">
      <c r="A24" t="s">
        <v>15</v>
      </c>
      <c r="B24">
        <v>2005</v>
      </c>
      <c r="C24">
        <v>55</v>
      </c>
      <c r="D24" t="s">
        <v>21</v>
      </c>
      <c r="E24" t="s">
        <v>17</v>
      </c>
      <c r="F24">
        <v>7.03</v>
      </c>
      <c r="G24">
        <v>52.49</v>
      </c>
      <c r="H24">
        <v>132.93</v>
      </c>
      <c r="I24">
        <v>132.41999999999999</v>
      </c>
      <c r="J24">
        <v>2.52</v>
      </c>
      <c r="K24">
        <v>12.13</v>
      </c>
      <c r="L24">
        <v>2.96</v>
      </c>
      <c r="M24">
        <v>1</v>
      </c>
      <c r="N24">
        <v>1</v>
      </c>
      <c r="O24" t="s">
        <v>18</v>
      </c>
    </row>
    <row r="25" spans="1:15" x14ac:dyDescent="0.35">
      <c r="A25" t="s">
        <v>15</v>
      </c>
      <c r="B25">
        <v>2005</v>
      </c>
      <c r="C25">
        <v>85</v>
      </c>
      <c r="D25" t="s">
        <v>21</v>
      </c>
      <c r="E25" t="s">
        <v>19</v>
      </c>
      <c r="F25">
        <v>8.9700000000000006</v>
      </c>
      <c r="G25">
        <v>36.61</v>
      </c>
      <c r="H25">
        <v>116.64</v>
      </c>
      <c r="I25">
        <v>236.74</v>
      </c>
      <c r="J25">
        <v>6.47</v>
      </c>
      <c r="K25">
        <v>13.87</v>
      </c>
      <c r="L25">
        <v>3.39</v>
      </c>
      <c r="M25">
        <v>1</v>
      </c>
      <c r="N25">
        <v>1</v>
      </c>
      <c r="O25" t="s">
        <v>20</v>
      </c>
    </row>
    <row r="26" spans="1:15" x14ac:dyDescent="0.35">
      <c r="A26" t="s">
        <v>15</v>
      </c>
      <c r="B26">
        <v>2005</v>
      </c>
      <c r="C26">
        <v>23</v>
      </c>
      <c r="D26" t="s">
        <v>16</v>
      </c>
      <c r="E26" t="s">
        <v>17</v>
      </c>
      <c r="F26">
        <v>7.08</v>
      </c>
      <c r="G26">
        <v>50.81</v>
      </c>
      <c r="H26">
        <v>154.51</v>
      </c>
      <c r="I26">
        <v>124.71</v>
      </c>
      <c r="J26">
        <v>2.4500000000000002</v>
      </c>
      <c r="K26">
        <v>10.73</v>
      </c>
      <c r="L26">
        <v>2.62</v>
      </c>
      <c r="M26">
        <v>1</v>
      </c>
      <c r="N26">
        <v>1</v>
      </c>
      <c r="O26" t="s">
        <v>18</v>
      </c>
    </row>
    <row r="27" spans="1:15" x14ac:dyDescent="0.35">
      <c r="A27" t="s">
        <v>15</v>
      </c>
      <c r="B27">
        <v>2005</v>
      </c>
      <c r="C27">
        <v>63</v>
      </c>
      <c r="D27" t="s">
        <v>21</v>
      </c>
      <c r="E27" t="s">
        <v>19</v>
      </c>
      <c r="F27">
        <v>7.66</v>
      </c>
      <c r="G27">
        <v>38.479999999999997</v>
      </c>
      <c r="H27">
        <v>133.41</v>
      </c>
      <c r="I27">
        <v>168.51</v>
      </c>
      <c r="J27">
        <v>4.38</v>
      </c>
      <c r="K27">
        <v>10.49</v>
      </c>
      <c r="L27">
        <v>2.56</v>
      </c>
      <c r="M27">
        <v>1</v>
      </c>
      <c r="N27">
        <v>1</v>
      </c>
      <c r="O27" t="s">
        <v>18</v>
      </c>
    </row>
    <row r="28" spans="1:15" x14ac:dyDescent="0.35">
      <c r="A28" t="s">
        <v>15</v>
      </c>
      <c r="B28">
        <v>2005</v>
      </c>
      <c r="C28">
        <v>10</v>
      </c>
      <c r="D28" t="s">
        <v>21</v>
      </c>
      <c r="E28" t="s">
        <v>22</v>
      </c>
      <c r="F28">
        <v>6.93</v>
      </c>
      <c r="G28">
        <v>42.23</v>
      </c>
      <c r="H28">
        <v>127</v>
      </c>
      <c r="I28">
        <v>170.5</v>
      </c>
      <c r="J28">
        <v>4.04</v>
      </c>
      <c r="K28">
        <v>10.09</v>
      </c>
      <c r="L28">
        <v>2.4700000000000002</v>
      </c>
      <c r="M28">
        <v>1</v>
      </c>
      <c r="N28">
        <v>0</v>
      </c>
      <c r="O28" t="s">
        <v>23</v>
      </c>
    </row>
    <row r="29" spans="1:15" x14ac:dyDescent="0.35">
      <c r="A29" t="s">
        <v>15</v>
      </c>
      <c r="B29">
        <v>2005</v>
      </c>
      <c r="C29">
        <v>54</v>
      </c>
      <c r="D29" t="s">
        <v>21</v>
      </c>
      <c r="E29" t="s">
        <v>17</v>
      </c>
      <c r="F29">
        <v>7.8</v>
      </c>
      <c r="G29">
        <v>50.21</v>
      </c>
      <c r="H29">
        <v>149.62</v>
      </c>
      <c r="I29">
        <v>115.67</v>
      </c>
      <c r="J29">
        <v>2.2999999999999998</v>
      </c>
      <c r="K29">
        <v>10</v>
      </c>
      <c r="L29">
        <v>2.4500000000000002</v>
      </c>
      <c r="M29">
        <v>1</v>
      </c>
      <c r="N29">
        <v>0</v>
      </c>
      <c r="O29" t="s">
        <v>18</v>
      </c>
    </row>
    <row r="30" spans="1:15" x14ac:dyDescent="0.35">
      <c r="A30" t="s">
        <v>15</v>
      </c>
      <c r="B30">
        <v>2005</v>
      </c>
      <c r="C30">
        <v>58</v>
      </c>
      <c r="D30" t="s">
        <v>16</v>
      </c>
      <c r="E30" t="s">
        <v>17</v>
      </c>
      <c r="F30">
        <v>5.22</v>
      </c>
      <c r="G30">
        <v>39.15</v>
      </c>
      <c r="H30">
        <v>145.93</v>
      </c>
      <c r="I30">
        <v>138.80000000000001</v>
      </c>
      <c r="J30">
        <v>3.55</v>
      </c>
      <c r="K30">
        <v>11.03</v>
      </c>
      <c r="L30">
        <v>2.7</v>
      </c>
      <c r="M30">
        <v>0</v>
      </c>
      <c r="N30">
        <v>1</v>
      </c>
      <c r="O30" t="s">
        <v>18</v>
      </c>
    </row>
    <row r="31" spans="1:15" x14ac:dyDescent="0.35">
      <c r="A31" t="s">
        <v>15</v>
      </c>
      <c r="B31">
        <v>2005</v>
      </c>
      <c r="C31">
        <v>77</v>
      </c>
      <c r="D31" t="s">
        <v>16</v>
      </c>
      <c r="E31" t="s">
        <v>19</v>
      </c>
      <c r="F31">
        <v>6.88</v>
      </c>
      <c r="G31">
        <v>59.57</v>
      </c>
      <c r="H31">
        <v>148.66</v>
      </c>
      <c r="I31">
        <v>155.84</v>
      </c>
      <c r="J31">
        <v>2.62</v>
      </c>
      <c r="K31">
        <v>11.1</v>
      </c>
      <c r="L31">
        <v>2.71</v>
      </c>
      <c r="M31">
        <v>1</v>
      </c>
      <c r="N31">
        <v>1</v>
      </c>
      <c r="O31" t="s">
        <v>18</v>
      </c>
    </row>
    <row r="32" spans="1:15" x14ac:dyDescent="0.35">
      <c r="A32" t="s">
        <v>15</v>
      </c>
      <c r="B32">
        <v>2005</v>
      </c>
      <c r="C32">
        <v>47</v>
      </c>
      <c r="D32" t="s">
        <v>21</v>
      </c>
      <c r="E32" t="s">
        <v>17</v>
      </c>
      <c r="F32">
        <v>7.54</v>
      </c>
      <c r="G32">
        <v>39.590000000000003</v>
      </c>
      <c r="H32">
        <v>173.84</v>
      </c>
      <c r="I32">
        <v>148.53</v>
      </c>
      <c r="J32">
        <v>3.75</v>
      </c>
      <c r="K32">
        <v>9.4700000000000006</v>
      </c>
      <c r="L32">
        <v>2.3199999999999998</v>
      </c>
      <c r="M32">
        <v>1</v>
      </c>
      <c r="N32">
        <v>0</v>
      </c>
      <c r="O32" t="s">
        <v>20</v>
      </c>
    </row>
    <row r="33" spans="1:15" x14ac:dyDescent="0.35">
      <c r="A33" t="s">
        <v>15</v>
      </c>
      <c r="B33">
        <v>2005</v>
      </c>
      <c r="C33">
        <v>30</v>
      </c>
      <c r="D33" t="s">
        <v>21</v>
      </c>
      <c r="E33" t="s">
        <v>17</v>
      </c>
      <c r="F33">
        <v>6.38</v>
      </c>
      <c r="G33">
        <v>54.96</v>
      </c>
      <c r="H33">
        <v>160.63</v>
      </c>
      <c r="I33">
        <v>155.52000000000001</v>
      </c>
      <c r="J33">
        <v>2.83</v>
      </c>
      <c r="K33">
        <v>9.4600000000000009</v>
      </c>
      <c r="L33">
        <v>2.31</v>
      </c>
      <c r="M33">
        <v>0</v>
      </c>
      <c r="N33">
        <v>0</v>
      </c>
      <c r="O33" t="s">
        <v>20</v>
      </c>
    </row>
    <row r="34" spans="1:15" x14ac:dyDescent="0.35">
      <c r="A34" t="s">
        <v>15</v>
      </c>
      <c r="B34">
        <v>2005</v>
      </c>
      <c r="C34">
        <v>24</v>
      </c>
      <c r="D34" t="s">
        <v>16</v>
      </c>
      <c r="E34" t="s">
        <v>17</v>
      </c>
      <c r="F34">
        <v>6.37</v>
      </c>
      <c r="G34">
        <v>40.44</v>
      </c>
      <c r="H34">
        <v>99.93</v>
      </c>
      <c r="I34">
        <v>161.9</v>
      </c>
      <c r="J34">
        <v>4</v>
      </c>
      <c r="K34">
        <v>11.45</v>
      </c>
      <c r="L34">
        <v>2.8</v>
      </c>
      <c r="M34">
        <v>0</v>
      </c>
      <c r="N34">
        <v>1</v>
      </c>
      <c r="O34" t="s">
        <v>23</v>
      </c>
    </row>
    <row r="35" spans="1:15" x14ac:dyDescent="0.35">
      <c r="A35" t="s">
        <v>15</v>
      </c>
      <c r="B35">
        <v>2005</v>
      </c>
      <c r="C35">
        <v>35</v>
      </c>
      <c r="D35" t="s">
        <v>21</v>
      </c>
      <c r="E35" t="s">
        <v>17</v>
      </c>
      <c r="F35">
        <v>6.2</v>
      </c>
      <c r="G35">
        <v>44.11</v>
      </c>
      <c r="H35">
        <v>106.24</v>
      </c>
      <c r="I35">
        <v>201.41</v>
      </c>
      <c r="J35">
        <v>4.57</v>
      </c>
      <c r="K35">
        <v>8.42</v>
      </c>
      <c r="L35">
        <v>2.06</v>
      </c>
      <c r="M35">
        <v>0</v>
      </c>
      <c r="N35">
        <v>0</v>
      </c>
      <c r="O35" t="s">
        <v>20</v>
      </c>
    </row>
    <row r="36" spans="1:15" x14ac:dyDescent="0.35">
      <c r="A36" t="s">
        <v>15</v>
      </c>
      <c r="B36">
        <v>2005</v>
      </c>
      <c r="C36">
        <v>31</v>
      </c>
      <c r="D36" t="s">
        <v>16</v>
      </c>
      <c r="E36" t="s">
        <v>17</v>
      </c>
      <c r="F36">
        <v>7.25</v>
      </c>
      <c r="G36">
        <v>27.75</v>
      </c>
      <c r="H36">
        <v>157.55000000000001</v>
      </c>
      <c r="I36">
        <v>81.03</v>
      </c>
      <c r="J36">
        <v>2.92</v>
      </c>
      <c r="K36">
        <v>11.61</v>
      </c>
      <c r="L36">
        <v>2.84</v>
      </c>
      <c r="M36">
        <v>1</v>
      </c>
      <c r="N36">
        <v>1</v>
      </c>
      <c r="O36" t="s">
        <v>18</v>
      </c>
    </row>
    <row r="37" spans="1:15" x14ac:dyDescent="0.35">
      <c r="A37" t="s">
        <v>15</v>
      </c>
      <c r="B37">
        <v>2005</v>
      </c>
      <c r="C37">
        <v>63</v>
      </c>
      <c r="D37" t="s">
        <v>21</v>
      </c>
      <c r="E37" t="s">
        <v>19</v>
      </c>
      <c r="F37">
        <v>7.16</v>
      </c>
      <c r="G37">
        <v>49.66</v>
      </c>
      <c r="H37">
        <v>124.56</v>
      </c>
      <c r="I37">
        <v>242</v>
      </c>
      <c r="J37">
        <v>4.87</v>
      </c>
      <c r="K37">
        <v>7.82</v>
      </c>
      <c r="L37">
        <v>1.91</v>
      </c>
      <c r="M37">
        <v>1</v>
      </c>
      <c r="N37">
        <v>0</v>
      </c>
      <c r="O37" t="s">
        <v>20</v>
      </c>
    </row>
    <row r="38" spans="1:15" x14ac:dyDescent="0.35">
      <c r="A38" t="s">
        <v>15</v>
      </c>
      <c r="B38">
        <v>2005</v>
      </c>
      <c r="C38">
        <v>85</v>
      </c>
      <c r="D38" t="s">
        <v>21</v>
      </c>
      <c r="E38" t="s">
        <v>19</v>
      </c>
      <c r="F38">
        <v>7.73</v>
      </c>
      <c r="G38">
        <v>41.37</v>
      </c>
      <c r="H38">
        <v>126.81</v>
      </c>
      <c r="I38">
        <v>156.43</v>
      </c>
      <c r="J38">
        <v>3.78</v>
      </c>
      <c r="K38">
        <v>7.59</v>
      </c>
      <c r="L38">
        <v>1.85</v>
      </c>
      <c r="M38">
        <v>1</v>
      </c>
      <c r="N38">
        <v>0</v>
      </c>
      <c r="O38" t="s">
        <v>23</v>
      </c>
    </row>
    <row r="39" spans="1:15" x14ac:dyDescent="0.35">
      <c r="A39" t="s">
        <v>15</v>
      </c>
      <c r="B39">
        <v>2005</v>
      </c>
      <c r="C39">
        <v>83</v>
      </c>
      <c r="D39" t="s">
        <v>16</v>
      </c>
      <c r="E39" t="s">
        <v>19</v>
      </c>
      <c r="F39">
        <v>6.71</v>
      </c>
      <c r="G39">
        <v>42.9</v>
      </c>
      <c r="H39">
        <v>78.180000000000007</v>
      </c>
      <c r="I39">
        <v>133.12</v>
      </c>
      <c r="J39">
        <v>3.1</v>
      </c>
      <c r="K39">
        <v>12.64</v>
      </c>
      <c r="L39">
        <v>3.09</v>
      </c>
      <c r="M39">
        <v>1</v>
      </c>
      <c r="N39">
        <v>1</v>
      </c>
      <c r="O39" t="s">
        <v>23</v>
      </c>
    </row>
    <row r="40" spans="1:15" x14ac:dyDescent="0.35">
      <c r="A40" t="s">
        <v>15</v>
      </c>
      <c r="B40">
        <v>2005</v>
      </c>
      <c r="C40">
        <v>22</v>
      </c>
      <c r="D40" t="s">
        <v>21</v>
      </c>
      <c r="E40" t="s">
        <v>17</v>
      </c>
      <c r="F40">
        <v>6.58</v>
      </c>
      <c r="G40">
        <v>29.19</v>
      </c>
      <c r="H40">
        <v>134.68</v>
      </c>
      <c r="I40">
        <v>195.36</v>
      </c>
      <c r="J40">
        <v>6.69</v>
      </c>
      <c r="K40">
        <v>6.5</v>
      </c>
      <c r="L40">
        <v>1.59</v>
      </c>
      <c r="M40">
        <v>1</v>
      </c>
      <c r="N40">
        <v>0</v>
      </c>
      <c r="O40" t="s">
        <v>18</v>
      </c>
    </row>
    <row r="41" spans="1:15" x14ac:dyDescent="0.35">
      <c r="A41" t="s">
        <v>15</v>
      </c>
      <c r="B41">
        <v>2005</v>
      </c>
      <c r="C41">
        <v>38</v>
      </c>
      <c r="D41" t="s">
        <v>21</v>
      </c>
      <c r="E41" t="s">
        <v>17</v>
      </c>
      <c r="F41">
        <v>8.41</v>
      </c>
      <c r="G41">
        <v>40.6</v>
      </c>
      <c r="H41">
        <v>98.29</v>
      </c>
      <c r="I41">
        <v>271.76</v>
      </c>
      <c r="J41">
        <v>6.69</v>
      </c>
      <c r="K41">
        <v>5.42</v>
      </c>
      <c r="L41">
        <v>1.32</v>
      </c>
      <c r="M41">
        <v>1</v>
      </c>
      <c r="N41">
        <v>0</v>
      </c>
      <c r="O41" t="s">
        <v>20</v>
      </c>
    </row>
    <row r="42" spans="1:15" x14ac:dyDescent="0.35">
      <c r="A42" t="s">
        <v>15</v>
      </c>
      <c r="B42">
        <v>2005</v>
      </c>
      <c r="C42">
        <v>54</v>
      </c>
      <c r="D42" t="s">
        <v>16</v>
      </c>
      <c r="E42" t="s">
        <v>17</v>
      </c>
      <c r="F42">
        <v>5.54</v>
      </c>
      <c r="G42">
        <v>53.59</v>
      </c>
      <c r="H42">
        <v>135.31</v>
      </c>
      <c r="I42">
        <v>197.24</v>
      </c>
      <c r="J42">
        <v>3.68</v>
      </c>
      <c r="K42">
        <v>13.73</v>
      </c>
      <c r="L42">
        <v>3.36</v>
      </c>
      <c r="M42">
        <v>0</v>
      </c>
      <c r="N42">
        <v>1</v>
      </c>
      <c r="O42" t="s">
        <v>18</v>
      </c>
    </row>
    <row r="43" spans="1:15" x14ac:dyDescent="0.35">
      <c r="A43" t="s">
        <v>15</v>
      </c>
      <c r="B43">
        <v>2005</v>
      </c>
      <c r="C43">
        <v>26</v>
      </c>
      <c r="D43" t="s">
        <v>21</v>
      </c>
      <c r="E43" t="s">
        <v>17</v>
      </c>
      <c r="F43">
        <v>7.04</v>
      </c>
      <c r="G43">
        <v>57.17</v>
      </c>
      <c r="H43">
        <v>130.19</v>
      </c>
      <c r="I43">
        <v>191.27</v>
      </c>
      <c r="J43">
        <v>3.35</v>
      </c>
      <c r="K43">
        <v>4.72</v>
      </c>
      <c r="L43">
        <v>1.1499999999999999</v>
      </c>
      <c r="M43">
        <v>1</v>
      </c>
      <c r="N43">
        <v>0</v>
      </c>
      <c r="O43" t="s">
        <v>18</v>
      </c>
    </row>
    <row r="44" spans="1:15" x14ac:dyDescent="0.35">
      <c r="A44" t="s">
        <v>15</v>
      </c>
      <c r="B44">
        <v>2005</v>
      </c>
      <c r="C44">
        <v>64</v>
      </c>
      <c r="D44" t="s">
        <v>21</v>
      </c>
      <c r="E44" t="s">
        <v>19</v>
      </c>
      <c r="F44">
        <v>7.71</v>
      </c>
      <c r="G44">
        <v>29.49</v>
      </c>
      <c r="H44">
        <v>151.03</v>
      </c>
      <c r="I44">
        <v>166.34</v>
      </c>
      <c r="J44">
        <v>5.64</v>
      </c>
      <c r="K44">
        <v>4.58</v>
      </c>
      <c r="L44">
        <v>1.1200000000000001</v>
      </c>
      <c r="M44">
        <v>1</v>
      </c>
      <c r="N44">
        <v>0</v>
      </c>
      <c r="O44" t="s">
        <v>18</v>
      </c>
    </row>
    <row r="45" spans="1:15" x14ac:dyDescent="0.35">
      <c r="A45" t="s">
        <v>15</v>
      </c>
      <c r="B45">
        <v>2005</v>
      </c>
      <c r="C45">
        <v>9</v>
      </c>
      <c r="D45" t="s">
        <v>21</v>
      </c>
      <c r="E45" t="s">
        <v>22</v>
      </c>
      <c r="F45">
        <v>6.57</v>
      </c>
      <c r="G45">
        <v>50.98</v>
      </c>
      <c r="H45">
        <v>154.16</v>
      </c>
      <c r="I45">
        <v>191.25</v>
      </c>
      <c r="J45">
        <v>3.75</v>
      </c>
      <c r="K45">
        <v>4.54</v>
      </c>
      <c r="L45">
        <v>1.1100000000000001</v>
      </c>
      <c r="M45">
        <v>1</v>
      </c>
      <c r="N45">
        <v>0</v>
      </c>
      <c r="O45" t="s">
        <v>18</v>
      </c>
    </row>
    <row r="46" spans="1:15" x14ac:dyDescent="0.35">
      <c r="A46" t="s">
        <v>15</v>
      </c>
      <c r="B46">
        <v>2005</v>
      </c>
      <c r="C46">
        <v>47</v>
      </c>
      <c r="D46" t="s">
        <v>21</v>
      </c>
      <c r="E46" t="s">
        <v>17</v>
      </c>
      <c r="F46">
        <v>6.62</v>
      </c>
      <c r="G46">
        <v>40.549999999999997</v>
      </c>
      <c r="H46">
        <v>114.57</v>
      </c>
      <c r="I46">
        <v>182.57</v>
      </c>
      <c r="J46">
        <v>4.5</v>
      </c>
      <c r="K46">
        <v>4.33</v>
      </c>
      <c r="L46">
        <v>1.06</v>
      </c>
      <c r="M46">
        <v>1</v>
      </c>
      <c r="N46">
        <v>0</v>
      </c>
      <c r="O46" t="s">
        <v>23</v>
      </c>
    </row>
    <row r="47" spans="1:15" x14ac:dyDescent="0.35">
      <c r="A47" t="s">
        <v>15</v>
      </c>
      <c r="B47">
        <v>2005</v>
      </c>
      <c r="C47">
        <v>15</v>
      </c>
      <c r="D47" t="s">
        <v>21</v>
      </c>
      <c r="E47" t="s">
        <v>24</v>
      </c>
      <c r="F47">
        <v>6.08</v>
      </c>
      <c r="G47">
        <v>44.31</v>
      </c>
      <c r="H47">
        <v>94.66</v>
      </c>
      <c r="I47">
        <v>186.51</v>
      </c>
      <c r="J47">
        <v>4.21</v>
      </c>
      <c r="K47">
        <v>4.2</v>
      </c>
      <c r="L47">
        <v>1.03</v>
      </c>
      <c r="M47">
        <v>0</v>
      </c>
      <c r="N47">
        <v>0</v>
      </c>
      <c r="O47" t="s">
        <v>23</v>
      </c>
    </row>
    <row r="48" spans="1:15" x14ac:dyDescent="0.35">
      <c r="A48" t="s">
        <v>15</v>
      </c>
      <c r="B48">
        <v>2005</v>
      </c>
      <c r="C48">
        <v>53</v>
      </c>
      <c r="D48" t="s">
        <v>21</v>
      </c>
      <c r="E48" t="s">
        <v>17</v>
      </c>
      <c r="F48">
        <v>7.09</v>
      </c>
      <c r="G48">
        <v>30.51</v>
      </c>
      <c r="H48">
        <v>156.22999999999999</v>
      </c>
      <c r="I48">
        <v>193.61</v>
      </c>
      <c r="J48">
        <v>6.35</v>
      </c>
      <c r="K48">
        <v>3.62</v>
      </c>
      <c r="L48">
        <v>0.89</v>
      </c>
      <c r="M48">
        <v>1</v>
      </c>
      <c r="N48">
        <v>0</v>
      </c>
      <c r="O48" t="s">
        <v>18</v>
      </c>
    </row>
    <row r="49" spans="1:15" x14ac:dyDescent="0.35">
      <c r="A49" t="s">
        <v>15</v>
      </c>
      <c r="B49">
        <v>2005</v>
      </c>
      <c r="C49">
        <v>81</v>
      </c>
      <c r="D49" t="s">
        <v>16</v>
      </c>
      <c r="E49" t="s">
        <v>19</v>
      </c>
      <c r="F49">
        <v>9.24</v>
      </c>
      <c r="G49">
        <v>40.729999999999997</v>
      </c>
      <c r="H49">
        <v>116.28</v>
      </c>
      <c r="I49">
        <v>168.98</v>
      </c>
      <c r="J49">
        <v>4.1500000000000004</v>
      </c>
      <c r="K49">
        <v>16.18</v>
      </c>
      <c r="L49">
        <v>3.96</v>
      </c>
      <c r="M49">
        <v>1</v>
      </c>
      <c r="N49">
        <v>1</v>
      </c>
      <c r="O49" t="s">
        <v>23</v>
      </c>
    </row>
    <row r="50" spans="1:15" x14ac:dyDescent="0.35">
      <c r="A50" t="s">
        <v>15</v>
      </c>
      <c r="B50">
        <v>2005</v>
      </c>
      <c r="C50">
        <v>70</v>
      </c>
      <c r="D50" t="s">
        <v>21</v>
      </c>
      <c r="E50" t="s">
        <v>19</v>
      </c>
      <c r="F50">
        <v>6.96</v>
      </c>
      <c r="G50">
        <v>46.16</v>
      </c>
      <c r="H50">
        <v>162.66</v>
      </c>
      <c r="I50">
        <v>240.46</v>
      </c>
      <c r="J50">
        <v>5.21</v>
      </c>
      <c r="K50">
        <v>1.59</v>
      </c>
      <c r="L50">
        <v>0.39</v>
      </c>
      <c r="M50">
        <v>1</v>
      </c>
      <c r="N50">
        <v>0</v>
      </c>
      <c r="O50" t="s">
        <v>20</v>
      </c>
    </row>
    <row r="51" spans="1:15" x14ac:dyDescent="0.35">
      <c r="A51" t="s">
        <v>15</v>
      </c>
      <c r="B51">
        <v>2005</v>
      </c>
      <c r="C51">
        <v>56</v>
      </c>
      <c r="D51" t="s">
        <v>21</v>
      </c>
      <c r="E51" t="s">
        <v>17</v>
      </c>
      <c r="F51">
        <v>6.63</v>
      </c>
      <c r="G51">
        <v>43.35</v>
      </c>
      <c r="H51">
        <v>145.71</v>
      </c>
      <c r="I51">
        <v>107.28</v>
      </c>
      <c r="J51">
        <v>2.4700000000000002</v>
      </c>
      <c r="K51">
        <v>-0.36</v>
      </c>
      <c r="L51">
        <v>-0.09</v>
      </c>
      <c r="M51">
        <v>1</v>
      </c>
      <c r="N51">
        <v>0</v>
      </c>
      <c r="O51" t="s">
        <v>18</v>
      </c>
    </row>
    <row r="52" spans="1:15" x14ac:dyDescent="0.35">
      <c r="A52" t="s">
        <v>15</v>
      </c>
      <c r="B52">
        <v>2006</v>
      </c>
      <c r="C52">
        <v>69</v>
      </c>
      <c r="D52" t="s">
        <v>16</v>
      </c>
      <c r="E52" t="s">
        <v>19</v>
      </c>
      <c r="F52">
        <v>9.23</v>
      </c>
      <c r="G52">
        <v>43.24</v>
      </c>
      <c r="H52">
        <v>160.08000000000001</v>
      </c>
      <c r="I52">
        <v>200.07</v>
      </c>
      <c r="J52">
        <v>4.63</v>
      </c>
      <c r="K52">
        <v>4.74</v>
      </c>
      <c r="L52">
        <v>1.1599999999999999</v>
      </c>
      <c r="M52">
        <v>1</v>
      </c>
      <c r="N52">
        <v>0</v>
      </c>
      <c r="O52" t="s">
        <v>20</v>
      </c>
    </row>
    <row r="53" spans="1:15" x14ac:dyDescent="0.35">
      <c r="A53" t="s">
        <v>15</v>
      </c>
      <c r="B53">
        <v>2006</v>
      </c>
      <c r="C53">
        <v>7</v>
      </c>
      <c r="D53" t="s">
        <v>16</v>
      </c>
      <c r="E53" t="s">
        <v>22</v>
      </c>
      <c r="F53">
        <v>5.93</v>
      </c>
      <c r="G53">
        <v>53.97</v>
      </c>
      <c r="H53">
        <v>163</v>
      </c>
      <c r="I53">
        <v>164.47</v>
      </c>
      <c r="J53">
        <v>3.05</v>
      </c>
      <c r="K53">
        <v>2.2599999999999998</v>
      </c>
      <c r="L53">
        <v>0.55000000000000004</v>
      </c>
      <c r="M53">
        <v>0</v>
      </c>
      <c r="N53">
        <v>0</v>
      </c>
      <c r="O53" t="s">
        <v>20</v>
      </c>
    </row>
    <row r="54" spans="1:15" x14ac:dyDescent="0.35">
      <c r="A54" t="s">
        <v>15</v>
      </c>
      <c r="B54">
        <v>2006</v>
      </c>
      <c r="C54">
        <v>10</v>
      </c>
      <c r="D54" t="s">
        <v>16</v>
      </c>
      <c r="E54" t="s">
        <v>22</v>
      </c>
      <c r="F54">
        <v>6.44</v>
      </c>
      <c r="G54">
        <v>48.55</v>
      </c>
      <c r="H54">
        <v>116.44</v>
      </c>
      <c r="I54">
        <v>165.91</v>
      </c>
      <c r="J54">
        <v>3.42</v>
      </c>
      <c r="K54">
        <v>8.76</v>
      </c>
      <c r="L54">
        <v>2.14</v>
      </c>
      <c r="M54">
        <v>0</v>
      </c>
      <c r="N54">
        <v>0</v>
      </c>
      <c r="O54" t="s">
        <v>23</v>
      </c>
    </row>
    <row r="55" spans="1:15" x14ac:dyDescent="0.35">
      <c r="A55" t="s">
        <v>15</v>
      </c>
      <c r="B55">
        <v>2006</v>
      </c>
      <c r="C55">
        <v>13</v>
      </c>
      <c r="D55" t="s">
        <v>16</v>
      </c>
      <c r="E55" t="s">
        <v>24</v>
      </c>
      <c r="F55">
        <v>6.47</v>
      </c>
      <c r="G55">
        <v>47.22</v>
      </c>
      <c r="H55">
        <v>118.13</v>
      </c>
      <c r="I55">
        <v>185.74</v>
      </c>
      <c r="J55">
        <v>3.93</v>
      </c>
      <c r="K55">
        <v>6.14</v>
      </c>
      <c r="L55">
        <v>1.5</v>
      </c>
      <c r="M55">
        <v>0</v>
      </c>
      <c r="N55">
        <v>0</v>
      </c>
      <c r="O55" t="s">
        <v>23</v>
      </c>
    </row>
    <row r="56" spans="1:15" x14ac:dyDescent="0.35">
      <c r="A56" t="s">
        <v>15</v>
      </c>
      <c r="B56">
        <v>2006</v>
      </c>
      <c r="C56">
        <v>4</v>
      </c>
      <c r="D56" t="s">
        <v>16</v>
      </c>
      <c r="E56" t="s">
        <v>22</v>
      </c>
      <c r="F56">
        <v>7.15</v>
      </c>
      <c r="G56">
        <v>56.36</v>
      </c>
      <c r="H56">
        <v>131.02000000000001</v>
      </c>
      <c r="I56">
        <v>176.85</v>
      </c>
      <c r="J56">
        <v>3.14</v>
      </c>
      <c r="K56">
        <v>7.61</v>
      </c>
      <c r="L56">
        <v>1.86</v>
      </c>
      <c r="M56">
        <v>1</v>
      </c>
      <c r="N56">
        <v>0</v>
      </c>
      <c r="O56" t="s">
        <v>18</v>
      </c>
    </row>
    <row r="57" spans="1:15" x14ac:dyDescent="0.35">
      <c r="A57" t="s">
        <v>15</v>
      </c>
      <c r="B57">
        <v>2006</v>
      </c>
      <c r="C57">
        <v>38</v>
      </c>
      <c r="D57" t="s">
        <v>16</v>
      </c>
      <c r="E57" t="s">
        <v>17</v>
      </c>
      <c r="F57">
        <v>5.66</v>
      </c>
      <c r="G57">
        <v>32.42</v>
      </c>
      <c r="H57">
        <v>148.69999999999999</v>
      </c>
      <c r="I57">
        <v>147.56</v>
      </c>
      <c r="J57">
        <v>4.55</v>
      </c>
      <c r="K57">
        <v>2.66</v>
      </c>
      <c r="L57">
        <v>0.65</v>
      </c>
      <c r="M57">
        <v>0</v>
      </c>
      <c r="N57">
        <v>0</v>
      </c>
      <c r="O57" t="s">
        <v>18</v>
      </c>
    </row>
    <row r="58" spans="1:15" x14ac:dyDescent="0.35">
      <c r="A58" t="s">
        <v>15</v>
      </c>
      <c r="B58">
        <v>2006</v>
      </c>
      <c r="C58">
        <v>69</v>
      </c>
      <c r="D58" t="s">
        <v>16</v>
      </c>
      <c r="E58" t="s">
        <v>19</v>
      </c>
      <c r="F58">
        <v>7.68</v>
      </c>
      <c r="G58">
        <v>38.53</v>
      </c>
      <c r="H58">
        <v>126.5</v>
      </c>
      <c r="I58">
        <v>185.42</v>
      </c>
      <c r="J58">
        <v>4.8099999999999996</v>
      </c>
      <c r="K58">
        <v>6.24</v>
      </c>
      <c r="L58">
        <v>1.53</v>
      </c>
      <c r="M58">
        <v>1</v>
      </c>
      <c r="N58">
        <v>0</v>
      </c>
      <c r="O58" t="s">
        <v>23</v>
      </c>
    </row>
    <row r="59" spans="1:15" x14ac:dyDescent="0.35">
      <c r="A59" t="s">
        <v>15</v>
      </c>
      <c r="B59">
        <v>2006</v>
      </c>
      <c r="C59">
        <v>47</v>
      </c>
      <c r="D59" t="s">
        <v>16</v>
      </c>
      <c r="E59" t="s">
        <v>17</v>
      </c>
      <c r="F59">
        <v>8.61</v>
      </c>
      <c r="G59">
        <v>27.78</v>
      </c>
      <c r="H59">
        <v>126.9</v>
      </c>
      <c r="I59">
        <v>171.45</v>
      </c>
      <c r="J59">
        <v>6.17</v>
      </c>
      <c r="K59">
        <v>8.0299999999999994</v>
      </c>
      <c r="L59">
        <v>1.96</v>
      </c>
      <c r="M59">
        <v>1</v>
      </c>
      <c r="N59">
        <v>0</v>
      </c>
      <c r="O59" t="s">
        <v>23</v>
      </c>
    </row>
    <row r="60" spans="1:15" x14ac:dyDescent="0.35">
      <c r="A60" t="s">
        <v>15</v>
      </c>
      <c r="B60">
        <v>2006</v>
      </c>
      <c r="C60">
        <v>51</v>
      </c>
      <c r="D60" t="s">
        <v>16</v>
      </c>
      <c r="E60" t="s">
        <v>17</v>
      </c>
      <c r="F60">
        <v>6.78</v>
      </c>
      <c r="G60">
        <v>44.58</v>
      </c>
      <c r="H60">
        <v>129.84</v>
      </c>
      <c r="I60">
        <v>185.92</v>
      </c>
      <c r="J60">
        <v>4.17</v>
      </c>
      <c r="K60">
        <v>7.79</v>
      </c>
      <c r="L60">
        <v>1.9</v>
      </c>
      <c r="M60">
        <v>1</v>
      </c>
      <c r="N60">
        <v>0</v>
      </c>
      <c r="O60" t="s">
        <v>23</v>
      </c>
    </row>
    <row r="61" spans="1:15" x14ac:dyDescent="0.35">
      <c r="A61" t="s">
        <v>15</v>
      </c>
      <c r="B61">
        <v>2006</v>
      </c>
      <c r="C61">
        <v>31</v>
      </c>
      <c r="D61" t="s">
        <v>16</v>
      </c>
      <c r="E61" t="s">
        <v>17</v>
      </c>
      <c r="F61">
        <v>8.06</v>
      </c>
      <c r="G61">
        <v>45.37</v>
      </c>
      <c r="H61">
        <v>132.81</v>
      </c>
      <c r="I61">
        <v>152.38</v>
      </c>
      <c r="J61">
        <v>3.36</v>
      </c>
      <c r="K61">
        <v>6.45</v>
      </c>
      <c r="L61">
        <v>1.58</v>
      </c>
      <c r="M61">
        <v>1</v>
      </c>
      <c r="N61">
        <v>0</v>
      </c>
      <c r="O61" t="s">
        <v>18</v>
      </c>
    </row>
    <row r="62" spans="1:15" x14ac:dyDescent="0.35">
      <c r="A62" t="s">
        <v>15</v>
      </c>
      <c r="B62">
        <v>2006</v>
      </c>
      <c r="C62">
        <v>68</v>
      </c>
      <c r="D62" t="s">
        <v>16</v>
      </c>
      <c r="E62" t="s">
        <v>19</v>
      </c>
      <c r="F62">
        <v>8.93</v>
      </c>
      <c r="G62">
        <v>29.23</v>
      </c>
      <c r="H62">
        <v>187.85</v>
      </c>
      <c r="I62">
        <v>142.51</v>
      </c>
      <c r="J62">
        <v>4.87</v>
      </c>
      <c r="K62">
        <v>8.4600000000000009</v>
      </c>
      <c r="L62">
        <v>2.0699999999999998</v>
      </c>
      <c r="M62">
        <v>1</v>
      </c>
      <c r="N62">
        <v>0</v>
      </c>
      <c r="O62" t="s">
        <v>20</v>
      </c>
    </row>
    <row r="63" spans="1:15" x14ac:dyDescent="0.35">
      <c r="A63" t="s">
        <v>15</v>
      </c>
      <c r="B63">
        <v>2006</v>
      </c>
      <c r="C63">
        <v>73</v>
      </c>
      <c r="D63" t="s">
        <v>16</v>
      </c>
      <c r="E63" t="s">
        <v>19</v>
      </c>
      <c r="F63">
        <v>6.79</v>
      </c>
      <c r="G63">
        <v>42.61</v>
      </c>
      <c r="H63">
        <v>136.97999999999999</v>
      </c>
      <c r="I63">
        <v>178.21</v>
      </c>
      <c r="J63">
        <v>4.18</v>
      </c>
      <c r="K63">
        <v>6.47</v>
      </c>
      <c r="L63">
        <v>1.58</v>
      </c>
      <c r="M63">
        <v>1</v>
      </c>
      <c r="N63">
        <v>0</v>
      </c>
      <c r="O63" t="s">
        <v>18</v>
      </c>
    </row>
    <row r="64" spans="1:15" x14ac:dyDescent="0.35">
      <c r="A64" t="s">
        <v>15</v>
      </c>
      <c r="B64">
        <v>2006</v>
      </c>
      <c r="C64">
        <v>44</v>
      </c>
      <c r="D64" t="s">
        <v>16</v>
      </c>
      <c r="E64" t="s">
        <v>17</v>
      </c>
      <c r="F64">
        <v>5.55</v>
      </c>
      <c r="G64">
        <v>39.840000000000003</v>
      </c>
      <c r="H64">
        <v>155.43</v>
      </c>
      <c r="I64">
        <v>214.98</v>
      </c>
      <c r="J64">
        <v>5.4</v>
      </c>
      <c r="K64">
        <v>7.79</v>
      </c>
      <c r="L64">
        <v>1.9</v>
      </c>
      <c r="M64">
        <v>0</v>
      </c>
      <c r="N64">
        <v>0</v>
      </c>
      <c r="O64" t="s">
        <v>20</v>
      </c>
    </row>
    <row r="65" spans="1:15" x14ac:dyDescent="0.35">
      <c r="A65" t="s">
        <v>15</v>
      </c>
      <c r="B65">
        <v>2006</v>
      </c>
      <c r="C65">
        <v>67</v>
      </c>
      <c r="D65" t="s">
        <v>16</v>
      </c>
      <c r="E65" t="s">
        <v>19</v>
      </c>
      <c r="F65">
        <v>7.76</v>
      </c>
      <c r="G65">
        <v>47.42</v>
      </c>
      <c r="H65">
        <v>142.66999999999999</v>
      </c>
      <c r="I65">
        <v>175.78</v>
      </c>
      <c r="J65">
        <v>3.71</v>
      </c>
      <c r="K65">
        <v>6.43</v>
      </c>
      <c r="L65">
        <v>1.57</v>
      </c>
      <c r="M65">
        <v>1</v>
      </c>
      <c r="N65">
        <v>0</v>
      </c>
      <c r="O65" t="s">
        <v>18</v>
      </c>
    </row>
    <row r="66" spans="1:15" x14ac:dyDescent="0.35">
      <c r="A66" t="s">
        <v>15</v>
      </c>
      <c r="B66">
        <v>2006</v>
      </c>
      <c r="C66">
        <v>22</v>
      </c>
      <c r="D66" t="s">
        <v>16</v>
      </c>
      <c r="E66" t="s">
        <v>17</v>
      </c>
      <c r="F66">
        <v>6.21</v>
      </c>
      <c r="G66">
        <v>31.48</v>
      </c>
      <c r="H66">
        <v>150.37</v>
      </c>
      <c r="I66">
        <v>125.71</v>
      </c>
      <c r="J66">
        <v>3.99</v>
      </c>
      <c r="K66">
        <v>6.98</v>
      </c>
      <c r="L66">
        <v>1.71</v>
      </c>
      <c r="M66">
        <v>0</v>
      </c>
      <c r="N66">
        <v>0</v>
      </c>
      <c r="O66" t="s">
        <v>18</v>
      </c>
    </row>
    <row r="67" spans="1:15" x14ac:dyDescent="0.35">
      <c r="A67" t="s">
        <v>15</v>
      </c>
      <c r="B67">
        <v>2006</v>
      </c>
      <c r="C67">
        <v>66</v>
      </c>
      <c r="D67" t="s">
        <v>21</v>
      </c>
      <c r="E67" t="s">
        <v>19</v>
      </c>
      <c r="F67">
        <v>7.59</v>
      </c>
      <c r="G67">
        <v>22.46</v>
      </c>
      <c r="H67">
        <v>159.84</v>
      </c>
      <c r="I67">
        <v>137.58000000000001</v>
      </c>
      <c r="J67">
        <v>6.13</v>
      </c>
      <c r="K67">
        <v>12.06</v>
      </c>
      <c r="L67">
        <v>2.95</v>
      </c>
      <c r="M67">
        <v>1</v>
      </c>
      <c r="N67">
        <v>1</v>
      </c>
      <c r="O67" t="s">
        <v>18</v>
      </c>
    </row>
    <row r="68" spans="1:15" x14ac:dyDescent="0.35">
      <c r="A68" t="s">
        <v>15</v>
      </c>
      <c r="B68">
        <v>2006</v>
      </c>
      <c r="C68">
        <v>21</v>
      </c>
      <c r="D68" t="s">
        <v>16</v>
      </c>
      <c r="E68" t="s">
        <v>17</v>
      </c>
      <c r="F68">
        <v>6.35</v>
      </c>
      <c r="G68">
        <v>53.21</v>
      </c>
      <c r="H68">
        <v>125.15</v>
      </c>
      <c r="I68">
        <v>294.45</v>
      </c>
      <c r="J68">
        <v>5.53</v>
      </c>
      <c r="K68">
        <v>3.45</v>
      </c>
      <c r="L68">
        <v>0.84</v>
      </c>
      <c r="M68">
        <v>0</v>
      </c>
      <c r="N68">
        <v>0</v>
      </c>
      <c r="O68" t="s">
        <v>20</v>
      </c>
    </row>
    <row r="69" spans="1:15" x14ac:dyDescent="0.35">
      <c r="A69" t="s">
        <v>15</v>
      </c>
      <c r="B69">
        <v>2006</v>
      </c>
      <c r="C69">
        <v>35</v>
      </c>
      <c r="D69" t="s">
        <v>16</v>
      </c>
      <c r="E69" t="s">
        <v>17</v>
      </c>
      <c r="F69">
        <v>7.09</v>
      </c>
      <c r="G69">
        <v>57.91</v>
      </c>
      <c r="H69">
        <v>134.58000000000001</v>
      </c>
      <c r="I69">
        <v>138.51</v>
      </c>
      <c r="J69">
        <v>2.39</v>
      </c>
      <c r="K69">
        <v>5.87</v>
      </c>
      <c r="L69">
        <v>1.43</v>
      </c>
      <c r="M69">
        <v>1</v>
      </c>
      <c r="N69">
        <v>0</v>
      </c>
      <c r="O69" t="s">
        <v>18</v>
      </c>
    </row>
    <row r="70" spans="1:15" x14ac:dyDescent="0.35">
      <c r="A70" t="s">
        <v>15</v>
      </c>
      <c r="B70">
        <v>2006</v>
      </c>
      <c r="C70">
        <v>24</v>
      </c>
      <c r="D70" t="s">
        <v>16</v>
      </c>
      <c r="E70" t="s">
        <v>17</v>
      </c>
      <c r="F70">
        <v>6.78</v>
      </c>
      <c r="G70">
        <v>50.49</v>
      </c>
      <c r="H70">
        <v>120.14</v>
      </c>
      <c r="I70">
        <v>105.83</v>
      </c>
      <c r="J70">
        <v>2.1</v>
      </c>
      <c r="K70">
        <v>4.91</v>
      </c>
      <c r="L70">
        <v>1.2</v>
      </c>
      <c r="M70">
        <v>1</v>
      </c>
      <c r="N70">
        <v>0</v>
      </c>
      <c r="O70" t="s">
        <v>23</v>
      </c>
    </row>
    <row r="71" spans="1:15" x14ac:dyDescent="0.35">
      <c r="A71" t="s">
        <v>15</v>
      </c>
      <c r="B71">
        <v>2006</v>
      </c>
      <c r="C71">
        <v>5</v>
      </c>
      <c r="D71" t="s">
        <v>16</v>
      </c>
      <c r="E71" t="s">
        <v>22</v>
      </c>
      <c r="F71">
        <v>5.67</v>
      </c>
      <c r="G71">
        <v>65.95</v>
      </c>
      <c r="H71">
        <v>113.22</v>
      </c>
      <c r="I71">
        <v>119.4</v>
      </c>
      <c r="J71">
        <v>1.81</v>
      </c>
      <c r="K71">
        <v>9.51</v>
      </c>
      <c r="L71">
        <v>2.33</v>
      </c>
      <c r="M71">
        <v>0</v>
      </c>
      <c r="N71">
        <v>0</v>
      </c>
      <c r="O71" t="s">
        <v>23</v>
      </c>
    </row>
    <row r="72" spans="1:15" x14ac:dyDescent="0.35">
      <c r="A72" t="s">
        <v>15</v>
      </c>
      <c r="B72">
        <v>2006</v>
      </c>
      <c r="C72">
        <v>32</v>
      </c>
      <c r="D72" t="s">
        <v>16</v>
      </c>
      <c r="E72" t="s">
        <v>17</v>
      </c>
      <c r="F72">
        <v>8.07</v>
      </c>
      <c r="G72">
        <v>46.11</v>
      </c>
      <c r="H72">
        <v>142.88</v>
      </c>
      <c r="I72">
        <v>66.53</v>
      </c>
      <c r="J72">
        <v>1.44</v>
      </c>
      <c r="K72">
        <v>9.58</v>
      </c>
      <c r="L72">
        <v>2.34</v>
      </c>
      <c r="M72">
        <v>1</v>
      </c>
      <c r="N72">
        <v>0</v>
      </c>
      <c r="O72" t="s">
        <v>18</v>
      </c>
    </row>
    <row r="73" spans="1:15" x14ac:dyDescent="0.35">
      <c r="A73" t="s">
        <v>15</v>
      </c>
      <c r="B73">
        <v>2006</v>
      </c>
      <c r="C73">
        <v>68</v>
      </c>
      <c r="D73" t="s">
        <v>21</v>
      </c>
      <c r="E73" t="s">
        <v>19</v>
      </c>
      <c r="F73">
        <v>6.49</v>
      </c>
      <c r="G73">
        <v>53.3</v>
      </c>
      <c r="H73">
        <v>118.43</v>
      </c>
      <c r="I73">
        <v>217.07</v>
      </c>
      <c r="J73">
        <v>4.07</v>
      </c>
      <c r="K73">
        <v>13.1</v>
      </c>
      <c r="L73">
        <v>3.2</v>
      </c>
      <c r="M73">
        <v>0</v>
      </c>
      <c r="N73">
        <v>1</v>
      </c>
      <c r="O73" t="s">
        <v>20</v>
      </c>
    </row>
    <row r="74" spans="1:15" x14ac:dyDescent="0.35">
      <c r="A74" t="s">
        <v>15</v>
      </c>
      <c r="B74">
        <v>2006</v>
      </c>
      <c r="C74">
        <v>85</v>
      </c>
      <c r="D74" t="s">
        <v>21</v>
      </c>
      <c r="E74" t="s">
        <v>19</v>
      </c>
      <c r="F74">
        <v>7.8</v>
      </c>
      <c r="G74">
        <v>45.16</v>
      </c>
      <c r="H74">
        <v>153.44</v>
      </c>
      <c r="I74">
        <v>215.46</v>
      </c>
      <c r="J74">
        <v>4.7699999999999996</v>
      </c>
      <c r="K74">
        <v>10.7</v>
      </c>
      <c r="L74">
        <v>2.61</v>
      </c>
      <c r="M74">
        <v>1</v>
      </c>
      <c r="N74">
        <v>1</v>
      </c>
      <c r="O74" t="s">
        <v>20</v>
      </c>
    </row>
    <row r="75" spans="1:15" x14ac:dyDescent="0.35">
      <c r="A75" t="s">
        <v>15</v>
      </c>
      <c r="B75">
        <v>2006</v>
      </c>
      <c r="C75">
        <v>51</v>
      </c>
      <c r="D75" t="s">
        <v>21</v>
      </c>
      <c r="E75" t="s">
        <v>17</v>
      </c>
      <c r="F75">
        <v>7.41</v>
      </c>
      <c r="G75">
        <v>34.14</v>
      </c>
      <c r="H75">
        <v>140.88999999999999</v>
      </c>
      <c r="I75">
        <v>194.21</v>
      </c>
      <c r="J75">
        <v>5.69</v>
      </c>
      <c r="K75">
        <v>10.63</v>
      </c>
      <c r="L75">
        <v>2.6</v>
      </c>
      <c r="M75">
        <v>1</v>
      </c>
      <c r="N75">
        <v>1</v>
      </c>
      <c r="O75" t="s">
        <v>18</v>
      </c>
    </row>
    <row r="76" spans="1:15" x14ac:dyDescent="0.35">
      <c r="A76" t="s">
        <v>15</v>
      </c>
      <c r="B76">
        <v>2006</v>
      </c>
      <c r="C76">
        <v>62</v>
      </c>
      <c r="D76" t="s">
        <v>21</v>
      </c>
      <c r="E76" t="s">
        <v>19</v>
      </c>
      <c r="F76">
        <v>6.8</v>
      </c>
      <c r="G76">
        <v>52.79</v>
      </c>
      <c r="H76">
        <v>129.06</v>
      </c>
      <c r="I76">
        <v>334.02</v>
      </c>
      <c r="J76">
        <v>6.33</v>
      </c>
      <c r="K76">
        <v>10.63</v>
      </c>
      <c r="L76">
        <v>2.6</v>
      </c>
      <c r="M76">
        <v>1</v>
      </c>
      <c r="N76">
        <v>1</v>
      </c>
      <c r="O76" t="s">
        <v>20</v>
      </c>
    </row>
    <row r="77" spans="1:15" x14ac:dyDescent="0.35">
      <c r="A77" t="s">
        <v>15</v>
      </c>
      <c r="B77">
        <v>2006</v>
      </c>
      <c r="C77">
        <v>47</v>
      </c>
      <c r="D77" t="s">
        <v>21</v>
      </c>
      <c r="E77" t="s">
        <v>17</v>
      </c>
      <c r="F77">
        <v>7.65</v>
      </c>
      <c r="G77">
        <v>42.62</v>
      </c>
      <c r="H77">
        <v>97.08</v>
      </c>
      <c r="I77">
        <v>183.05</v>
      </c>
      <c r="J77">
        <v>4.3</v>
      </c>
      <c r="K77">
        <v>10.56</v>
      </c>
      <c r="L77">
        <v>2.58</v>
      </c>
      <c r="M77">
        <v>1</v>
      </c>
      <c r="N77">
        <v>1</v>
      </c>
      <c r="O77" t="s">
        <v>23</v>
      </c>
    </row>
    <row r="78" spans="1:15" x14ac:dyDescent="0.35">
      <c r="A78" t="s">
        <v>15</v>
      </c>
      <c r="B78">
        <v>2006</v>
      </c>
      <c r="C78">
        <v>34</v>
      </c>
      <c r="D78" t="s">
        <v>21</v>
      </c>
      <c r="E78" t="s">
        <v>17</v>
      </c>
      <c r="F78">
        <v>9.85</v>
      </c>
      <c r="G78">
        <v>50.27</v>
      </c>
      <c r="H78">
        <v>124</v>
      </c>
      <c r="I78">
        <v>220.78</v>
      </c>
      <c r="J78">
        <v>4.3899999999999997</v>
      </c>
      <c r="K78">
        <v>10.31</v>
      </c>
      <c r="L78">
        <v>2.52</v>
      </c>
      <c r="M78">
        <v>1</v>
      </c>
      <c r="N78">
        <v>1</v>
      </c>
      <c r="O78" t="s">
        <v>20</v>
      </c>
    </row>
    <row r="79" spans="1:15" x14ac:dyDescent="0.35">
      <c r="A79" t="s">
        <v>15</v>
      </c>
      <c r="B79">
        <v>2006</v>
      </c>
      <c r="C79">
        <v>45</v>
      </c>
      <c r="D79" t="s">
        <v>21</v>
      </c>
      <c r="E79" t="s">
        <v>17</v>
      </c>
      <c r="F79">
        <v>4.96</v>
      </c>
      <c r="G79">
        <v>57.88</v>
      </c>
      <c r="H79">
        <v>141.24</v>
      </c>
      <c r="I79">
        <v>249.79</v>
      </c>
      <c r="J79">
        <v>4.32</v>
      </c>
      <c r="K79">
        <v>10.210000000000001</v>
      </c>
      <c r="L79">
        <v>2.5</v>
      </c>
      <c r="M79">
        <v>0</v>
      </c>
      <c r="N79">
        <v>0</v>
      </c>
      <c r="O79" t="s">
        <v>20</v>
      </c>
    </row>
    <row r="80" spans="1:15" x14ac:dyDescent="0.35">
      <c r="A80" t="s">
        <v>15</v>
      </c>
      <c r="B80">
        <v>2006</v>
      </c>
      <c r="C80">
        <v>70</v>
      </c>
      <c r="D80" t="s">
        <v>21</v>
      </c>
      <c r="E80" t="s">
        <v>19</v>
      </c>
      <c r="F80">
        <v>6.92</v>
      </c>
      <c r="G80">
        <v>33.61</v>
      </c>
      <c r="H80">
        <v>160.79</v>
      </c>
      <c r="I80">
        <v>193.43</v>
      </c>
      <c r="J80">
        <v>5.75</v>
      </c>
      <c r="K80">
        <v>9.56</v>
      </c>
      <c r="L80">
        <v>2.34</v>
      </c>
      <c r="M80">
        <v>1</v>
      </c>
      <c r="N80">
        <v>0</v>
      </c>
      <c r="O80" t="s">
        <v>20</v>
      </c>
    </row>
    <row r="81" spans="1:15" x14ac:dyDescent="0.35">
      <c r="A81" t="s">
        <v>15</v>
      </c>
      <c r="B81">
        <v>2006</v>
      </c>
      <c r="C81">
        <v>69</v>
      </c>
      <c r="D81" t="s">
        <v>16</v>
      </c>
      <c r="E81" t="s">
        <v>19</v>
      </c>
      <c r="F81">
        <v>9.2100000000000009</v>
      </c>
      <c r="G81">
        <v>37.93</v>
      </c>
      <c r="H81">
        <v>147.43</v>
      </c>
      <c r="I81">
        <v>212.6</v>
      </c>
      <c r="J81">
        <v>5.6</v>
      </c>
      <c r="K81">
        <v>11.18</v>
      </c>
      <c r="L81">
        <v>2.73</v>
      </c>
      <c r="M81">
        <v>1</v>
      </c>
      <c r="N81">
        <v>1</v>
      </c>
      <c r="O81" t="s">
        <v>20</v>
      </c>
    </row>
    <row r="82" spans="1:15" x14ac:dyDescent="0.35">
      <c r="A82" t="s">
        <v>15</v>
      </c>
      <c r="B82">
        <v>2006</v>
      </c>
      <c r="C82">
        <v>3</v>
      </c>
      <c r="D82" t="s">
        <v>16</v>
      </c>
      <c r="E82" t="s">
        <v>22</v>
      </c>
      <c r="F82">
        <v>5.1100000000000003</v>
      </c>
      <c r="G82">
        <v>54.1</v>
      </c>
      <c r="H82">
        <v>128.30000000000001</v>
      </c>
      <c r="I82">
        <v>219.95</v>
      </c>
      <c r="J82">
        <v>4.07</v>
      </c>
      <c r="K82">
        <v>11.31</v>
      </c>
      <c r="L82">
        <v>2.77</v>
      </c>
      <c r="M82">
        <v>0</v>
      </c>
      <c r="N82">
        <v>1</v>
      </c>
      <c r="O82" t="s">
        <v>20</v>
      </c>
    </row>
    <row r="83" spans="1:15" x14ac:dyDescent="0.35">
      <c r="A83" t="s">
        <v>15</v>
      </c>
      <c r="B83">
        <v>2006</v>
      </c>
      <c r="C83">
        <v>79</v>
      </c>
      <c r="D83" t="s">
        <v>21</v>
      </c>
      <c r="E83" t="s">
        <v>19</v>
      </c>
      <c r="F83">
        <v>9.27</v>
      </c>
      <c r="G83">
        <v>40.26</v>
      </c>
      <c r="H83">
        <v>121.87</v>
      </c>
      <c r="I83">
        <v>181.16</v>
      </c>
      <c r="J83">
        <v>4.5</v>
      </c>
      <c r="K83">
        <v>8.64</v>
      </c>
      <c r="L83">
        <v>2.11</v>
      </c>
      <c r="M83">
        <v>1</v>
      </c>
      <c r="N83">
        <v>0</v>
      </c>
      <c r="O83" t="s">
        <v>23</v>
      </c>
    </row>
    <row r="84" spans="1:15" x14ac:dyDescent="0.35">
      <c r="A84" t="s">
        <v>15</v>
      </c>
      <c r="B84">
        <v>2006</v>
      </c>
      <c r="C84">
        <v>48</v>
      </c>
      <c r="D84" t="s">
        <v>21</v>
      </c>
      <c r="E84" t="s">
        <v>17</v>
      </c>
      <c r="F84">
        <v>5.18</v>
      </c>
      <c r="G84">
        <v>40.07</v>
      </c>
      <c r="H84">
        <v>132.57</v>
      </c>
      <c r="I84">
        <v>170.89</v>
      </c>
      <c r="J84">
        <v>4.26</v>
      </c>
      <c r="K84">
        <v>8.2799999999999994</v>
      </c>
      <c r="L84">
        <v>2.02</v>
      </c>
      <c r="M84">
        <v>0</v>
      </c>
      <c r="N84">
        <v>0</v>
      </c>
      <c r="O84" t="s">
        <v>18</v>
      </c>
    </row>
    <row r="85" spans="1:15" x14ac:dyDescent="0.35">
      <c r="A85" t="s">
        <v>15</v>
      </c>
      <c r="B85">
        <v>2006</v>
      </c>
      <c r="C85">
        <v>8</v>
      </c>
      <c r="D85" t="s">
        <v>21</v>
      </c>
      <c r="E85" t="s">
        <v>22</v>
      </c>
      <c r="F85">
        <v>4.72</v>
      </c>
      <c r="G85">
        <v>57.29</v>
      </c>
      <c r="H85">
        <v>159.03</v>
      </c>
      <c r="I85">
        <v>119.35</v>
      </c>
      <c r="J85">
        <v>2.08</v>
      </c>
      <c r="K85">
        <v>8.07</v>
      </c>
      <c r="L85">
        <v>1.97</v>
      </c>
      <c r="M85">
        <v>0</v>
      </c>
      <c r="N85">
        <v>0</v>
      </c>
      <c r="O85" t="s">
        <v>18</v>
      </c>
    </row>
    <row r="86" spans="1:15" x14ac:dyDescent="0.35">
      <c r="A86" t="s">
        <v>15</v>
      </c>
      <c r="B86">
        <v>2006</v>
      </c>
      <c r="C86">
        <v>85</v>
      </c>
      <c r="D86" t="s">
        <v>21</v>
      </c>
      <c r="E86" t="s">
        <v>19</v>
      </c>
      <c r="F86">
        <v>6.68</v>
      </c>
      <c r="G86">
        <v>37.25</v>
      </c>
      <c r="H86">
        <v>188.27</v>
      </c>
      <c r="I86">
        <v>245.97</v>
      </c>
      <c r="J86">
        <v>6.6</v>
      </c>
      <c r="K86">
        <v>7.97</v>
      </c>
      <c r="L86">
        <v>1.95</v>
      </c>
      <c r="M86">
        <v>1</v>
      </c>
      <c r="N86">
        <v>0</v>
      </c>
      <c r="O86" t="s">
        <v>20</v>
      </c>
    </row>
    <row r="87" spans="1:15" x14ac:dyDescent="0.35">
      <c r="A87" t="s">
        <v>15</v>
      </c>
      <c r="B87">
        <v>2006</v>
      </c>
      <c r="C87">
        <v>5</v>
      </c>
      <c r="D87" t="s">
        <v>21</v>
      </c>
      <c r="E87" t="s">
        <v>22</v>
      </c>
      <c r="F87">
        <v>8.02</v>
      </c>
      <c r="G87">
        <v>56.03</v>
      </c>
      <c r="H87">
        <v>148.81</v>
      </c>
      <c r="I87">
        <v>218.42</v>
      </c>
      <c r="J87">
        <v>3.9</v>
      </c>
      <c r="K87">
        <v>7.62</v>
      </c>
      <c r="L87">
        <v>1.86</v>
      </c>
      <c r="M87">
        <v>1</v>
      </c>
      <c r="N87">
        <v>0</v>
      </c>
      <c r="O87" t="s">
        <v>20</v>
      </c>
    </row>
    <row r="88" spans="1:15" x14ac:dyDescent="0.35">
      <c r="A88" t="s">
        <v>15</v>
      </c>
      <c r="B88">
        <v>2006</v>
      </c>
      <c r="C88">
        <v>60</v>
      </c>
      <c r="D88" t="s">
        <v>16</v>
      </c>
      <c r="E88" t="s">
        <v>19</v>
      </c>
      <c r="F88">
        <v>7.69</v>
      </c>
      <c r="G88">
        <v>37.840000000000003</v>
      </c>
      <c r="H88">
        <v>192.28</v>
      </c>
      <c r="I88">
        <v>276.54000000000002</v>
      </c>
      <c r="J88">
        <v>7.31</v>
      </c>
      <c r="K88">
        <v>12.45</v>
      </c>
      <c r="L88">
        <v>3.04</v>
      </c>
      <c r="M88">
        <v>1</v>
      </c>
      <c r="N88">
        <v>1</v>
      </c>
      <c r="O88" t="s">
        <v>20</v>
      </c>
    </row>
    <row r="89" spans="1:15" x14ac:dyDescent="0.35">
      <c r="A89" t="s">
        <v>15</v>
      </c>
      <c r="B89">
        <v>2006</v>
      </c>
      <c r="C89">
        <v>59</v>
      </c>
      <c r="D89" t="s">
        <v>21</v>
      </c>
      <c r="E89" t="s">
        <v>17</v>
      </c>
      <c r="F89">
        <v>7.6</v>
      </c>
      <c r="G89">
        <v>32.270000000000003</v>
      </c>
      <c r="H89">
        <v>145.04</v>
      </c>
      <c r="I89">
        <v>201.78</v>
      </c>
      <c r="J89">
        <v>6.25</v>
      </c>
      <c r="K89">
        <v>6.55</v>
      </c>
      <c r="L89">
        <v>1.6</v>
      </c>
      <c r="M89">
        <v>1</v>
      </c>
      <c r="N89">
        <v>0</v>
      </c>
      <c r="O89" t="s">
        <v>20</v>
      </c>
    </row>
    <row r="90" spans="1:15" x14ac:dyDescent="0.35">
      <c r="A90" t="s">
        <v>15</v>
      </c>
      <c r="B90">
        <v>2006</v>
      </c>
      <c r="C90">
        <v>32</v>
      </c>
      <c r="D90" t="s">
        <v>21</v>
      </c>
      <c r="E90" t="s">
        <v>17</v>
      </c>
      <c r="F90">
        <v>7.43</v>
      </c>
      <c r="G90">
        <v>53.12</v>
      </c>
      <c r="H90">
        <v>138.76</v>
      </c>
      <c r="I90">
        <v>242.13</v>
      </c>
      <c r="J90">
        <v>4.5599999999999996</v>
      </c>
      <c r="K90">
        <v>6.03</v>
      </c>
      <c r="L90">
        <v>1.47</v>
      </c>
      <c r="M90">
        <v>1</v>
      </c>
      <c r="N90">
        <v>0</v>
      </c>
      <c r="O90" t="s">
        <v>20</v>
      </c>
    </row>
    <row r="91" spans="1:15" x14ac:dyDescent="0.35">
      <c r="A91" t="s">
        <v>15</v>
      </c>
      <c r="B91">
        <v>2006</v>
      </c>
      <c r="C91">
        <v>57</v>
      </c>
      <c r="D91" t="s">
        <v>16</v>
      </c>
      <c r="E91" t="s">
        <v>17</v>
      </c>
      <c r="F91">
        <v>7.89</v>
      </c>
      <c r="G91">
        <v>43.24</v>
      </c>
      <c r="H91">
        <v>133.41999999999999</v>
      </c>
      <c r="I91">
        <v>222.37</v>
      </c>
      <c r="J91">
        <v>5.14</v>
      </c>
      <c r="K91">
        <v>13.14</v>
      </c>
      <c r="L91">
        <v>3.21</v>
      </c>
      <c r="M91">
        <v>1</v>
      </c>
      <c r="N91">
        <v>1</v>
      </c>
      <c r="O91" t="s">
        <v>20</v>
      </c>
    </row>
    <row r="92" spans="1:15" x14ac:dyDescent="0.35">
      <c r="A92" t="s">
        <v>15</v>
      </c>
      <c r="B92">
        <v>2006</v>
      </c>
      <c r="C92">
        <v>35</v>
      </c>
      <c r="D92" t="s">
        <v>21</v>
      </c>
      <c r="E92" t="s">
        <v>17</v>
      </c>
      <c r="F92">
        <v>6.87</v>
      </c>
      <c r="G92">
        <v>36.799999999999997</v>
      </c>
      <c r="H92">
        <v>146.49</v>
      </c>
      <c r="I92">
        <v>118.68</v>
      </c>
      <c r="J92">
        <v>3.23</v>
      </c>
      <c r="K92">
        <v>5.43</v>
      </c>
      <c r="L92">
        <v>1.33</v>
      </c>
      <c r="M92">
        <v>1</v>
      </c>
      <c r="N92">
        <v>0</v>
      </c>
      <c r="O92" t="s">
        <v>18</v>
      </c>
    </row>
    <row r="93" spans="1:15" x14ac:dyDescent="0.35">
      <c r="A93" t="s">
        <v>15</v>
      </c>
      <c r="B93">
        <v>2006</v>
      </c>
      <c r="C93">
        <v>78</v>
      </c>
      <c r="D93" t="s">
        <v>21</v>
      </c>
      <c r="E93" t="s">
        <v>19</v>
      </c>
      <c r="F93">
        <v>9.5</v>
      </c>
      <c r="G93">
        <v>32.409999999999997</v>
      </c>
      <c r="H93">
        <v>145.16</v>
      </c>
      <c r="I93">
        <v>164.85</v>
      </c>
      <c r="J93">
        <v>5.09</v>
      </c>
      <c r="K93">
        <v>5.26</v>
      </c>
      <c r="L93">
        <v>1.29</v>
      </c>
      <c r="M93">
        <v>1</v>
      </c>
      <c r="N93">
        <v>0</v>
      </c>
      <c r="O93" t="s">
        <v>18</v>
      </c>
    </row>
    <row r="94" spans="1:15" x14ac:dyDescent="0.35">
      <c r="A94" t="s">
        <v>15</v>
      </c>
      <c r="B94">
        <v>2006</v>
      </c>
      <c r="C94">
        <v>26</v>
      </c>
      <c r="D94" t="s">
        <v>16</v>
      </c>
      <c r="E94" t="s">
        <v>17</v>
      </c>
      <c r="F94">
        <v>6.94</v>
      </c>
      <c r="G94">
        <v>40.950000000000003</v>
      </c>
      <c r="H94">
        <v>150.09</v>
      </c>
      <c r="I94">
        <v>124.32</v>
      </c>
      <c r="J94">
        <v>3.04</v>
      </c>
      <c r="K94">
        <v>13.42</v>
      </c>
      <c r="L94">
        <v>3.28</v>
      </c>
      <c r="M94">
        <v>1</v>
      </c>
      <c r="N94">
        <v>1</v>
      </c>
      <c r="O94" t="s">
        <v>18</v>
      </c>
    </row>
    <row r="95" spans="1:15" x14ac:dyDescent="0.35">
      <c r="A95" t="s">
        <v>15</v>
      </c>
      <c r="B95">
        <v>2006</v>
      </c>
      <c r="C95">
        <v>26</v>
      </c>
      <c r="D95" t="s">
        <v>16</v>
      </c>
      <c r="E95" t="s">
        <v>17</v>
      </c>
      <c r="F95">
        <v>5.73</v>
      </c>
      <c r="G95">
        <v>43.69</v>
      </c>
      <c r="H95">
        <v>114.16</v>
      </c>
      <c r="I95">
        <v>209.03</v>
      </c>
      <c r="J95">
        <v>4.78</v>
      </c>
      <c r="K95">
        <v>13.88</v>
      </c>
      <c r="L95">
        <v>3.39</v>
      </c>
      <c r="M95">
        <v>0</v>
      </c>
      <c r="N95">
        <v>1</v>
      </c>
      <c r="O95" t="s">
        <v>20</v>
      </c>
    </row>
    <row r="96" spans="1:15" x14ac:dyDescent="0.35">
      <c r="A96" t="s">
        <v>15</v>
      </c>
      <c r="B96">
        <v>2006</v>
      </c>
      <c r="C96">
        <v>10</v>
      </c>
      <c r="D96" t="s">
        <v>21</v>
      </c>
      <c r="E96" t="s">
        <v>22</v>
      </c>
      <c r="F96">
        <v>7.18</v>
      </c>
      <c r="G96">
        <v>41.41</v>
      </c>
      <c r="H96">
        <v>175.4</v>
      </c>
      <c r="I96">
        <v>169.51</v>
      </c>
      <c r="J96">
        <v>4.09</v>
      </c>
      <c r="K96">
        <v>4.84</v>
      </c>
      <c r="L96">
        <v>1.18</v>
      </c>
      <c r="M96">
        <v>1</v>
      </c>
      <c r="N96">
        <v>0</v>
      </c>
      <c r="O96" t="s">
        <v>20</v>
      </c>
    </row>
    <row r="97" spans="1:15" x14ac:dyDescent="0.35">
      <c r="A97" t="s">
        <v>15</v>
      </c>
      <c r="B97">
        <v>2006</v>
      </c>
      <c r="C97">
        <v>85</v>
      </c>
      <c r="D97" t="s">
        <v>16</v>
      </c>
      <c r="E97" t="s">
        <v>19</v>
      </c>
      <c r="F97">
        <v>8.2200000000000006</v>
      </c>
      <c r="G97">
        <v>39.65</v>
      </c>
      <c r="H97">
        <v>153.32</v>
      </c>
      <c r="I97">
        <v>215.26</v>
      </c>
      <c r="J97">
        <v>5.43</v>
      </c>
      <c r="K97">
        <v>14.42</v>
      </c>
      <c r="L97">
        <v>3.52</v>
      </c>
      <c r="M97">
        <v>1</v>
      </c>
      <c r="N97">
        <v>1</v>
      </c>
      <c r="O97" t="s">
        <v>20</v>
      </c>
    </row>
    <row r="98" spans="1:15" x14ac:dyDescent="0.35">
      <c r="A98" t="s">
        <v>15</v>
      </c>
      <c r="B98">
        <v>2006</v>
      </c>
      <c r="C98">
        <v>1</v>
      </c>
      <c r="D98" t="s">
        <v>21</v>
      </c>
      <c r="E98" t="s">
        <v>22</v>
      </c>
      <c r="F98">
        <v>6.1</v>
      </c>
      <c r="G98">
        <v>64.400000000000006</v>
      </c>
      <c r="H98">
        <v>132.68</v>
      </c>
      <c r="I98">
        <v>176.49</v>
      </c>
      <c r="J98">
        <v>2.74</v>
      </c>
      <c r="K98">
        <v>4.37</v>
      </c>
      <c r="L98">
        <v>1.07</v>
      </c>
      <c r="M98">
        <v>0</v>
      </c>
      <c r="N98">
        <v>0</v>
      </c>
      <c r="O98" t="s">
        <v>18</v>
      </c>
    </row>
    <row r="99" spans="1:15" x14ac:dyDescent="0.35">
      <c r="A99" t="s">
        <v>15</v>
      </c>
      <c r="B99">
        <v>2006</v>
      </c>
      <c r="C99">
        <v>75</v>
      </c>
      <c r="D99" t="s">
        <v>16</v>
      </c>
      <c r="E99" t="s">
        <v>19</v>
      </c>
      <c r="F99">
        <v>10.220000000000001</v>
      </c>
      <c r="G99">
        <v>42.9</v>
      </c>
      <c r="H99">
        <v>178.37</v>
      </c>
      <c r="I99">
        <v>282.25</v>
      </c>
      <c r="J99">
        <v>6.58</v>
      </c>
      <c r="K99">
        <v>15.21</v>
      </c>
      <c r="L99">
        <v>3.72</v>
      </c>
      <c r="M99">
        <v>1</v>
      </c>
      <c r="N99">
        <v>1</v>
      </c>
      <c r="O99" t="s">
        <v>20</v>
      </c>
    </row>
    <row r="100" spans="1:15" x14ac:dyDescent="0.35">
      <c r="A100" t="s">
        <v>15</v>
      </c>
      <c r="B100">
        <v>2006</v>
      </c>
      <c r="C100">
        <v>31</v>
      </c>
      <c r="D100" t="s">
        <v>21</v>
      </c>
      <c r="E100" t="s">
        <v>17</v>
      </c>
      <c r="F100">
        <v>5.56</v>
      </c>
      <c r="G100">
        <v>45.72</v>
      </c>
      <c r="H100">
        <v>109.93</v>
      </c>
      <c r="I100">
        <v>257.85000000000002</v>
      </c>
      <c r="J100">
        <v>5.64</v>
      </c>
      <c r="K100">
        <v>3.32</v>
      </c>
      <c r="L100">
        <v>0.81</v>
      </c>
      <c r="M100">
        <v>0</v>
      </c>
      <c r="N100">
        <v>0</v>
      </c>
      <c r="O100" t="s">
        <v>20</v>
      </c>
    </row>
    <row r="101" spans="1:15" x14ac:dyDescent="0.35">
      <c r="A101" t="s">
        <v>15</v>
      </c>
      <c r="B101">
        <v>2006</v>
      </c>
      <c r="C101">
        <v>78</v>
      </c>
      <c r="D101" t="s">
        <v>21</v>
      </c>
      <c r="E101" t="s">
        <v>19</v>
      </c>
      <c r="F101">
        <v>10.3</v>
      </c>
      <c r="G101">
        <v>51.73</v>
      </c>
      <c r="H101">
        <v>105.48</v>
      </c>
      <c r="I101">
        <v>176.28</v>
      </c>
      <c r="J101">
        <v>3.41</v>
      </c>
      <c r="K101">
        <v>2.54</v>
      </c>
      <c r="L101">
        <v>0.62</v>
      </c>
      <c r="M101">
        <v>1</v>
      </c>
      <c r="N101">
        <v>0</v>
      </c>
      <c r="O101" t="s">
        <v>23</v>
      </c>
    </row>
    <row r="102" spans="1:15" x14ac:dyDescent="0.35">
      <c r="A102" t="s">
        <v>15</v>
      </c>
      <c r="B102">
        <v>2007</v>
      </c>
      <c r="C102">
        <v>75</v>
      </c>
      <c r="D102" t="s">
        <v>21</v>
      </c>
      <c r="E102" t="s">
        <v>19</v>
      </c>
      <c r="F102">
        <v>6.61</v>
      </c>
      <c r="G102">
        <v>42.64</v>
      </c>
      <c r="H102">
        <v>158.13</v>
      </c>
      <c r="I102">
        <v>174.33</v>
      </c>
      <c r="J102">
        <v>4.09</v>
      </c>
      <c r="K102">
        <v>11.89</v>
      </c>
      <c r="L102">
        <v>2.91</v>
      </c>
      <c r="M102">
        <v>1</v>
      </c>
      <c r="N102">
        <v>1</v>
      </c>
      <c r="O102" t="s">
        <v>18</v>
      </c>
    </row>
    <row r="103" spans="1:15" x14ac:dyDescent="0.35">
      <c r="A103" t="s">
        <v>15</v>
      </c>
      <c r="B103">
        <v>2007</v>
      </c>
      <c r="C103">
        <v>84</v>
      </c>
      <c r="D103" t="s">
        <v>21</v>
      </c>
      <c r="E103" t="s">
        <v>19</v>
      </c>
      <c r="F103">
        <v>9.64</v>
      </c>
      <c r="G103">
        <v>32.409999999999997</v>
      </c>
      <c r="H103">
        <v>115.84</v>
      </c>
      <c r="I103">
        <v>192.32</v>
      </c>
      <c r="J103">
        <v>5.93</v>
      </c>
      <c r="K103">
        <v>12.12</v>
      </c>
      <c r="L103">
        <v>2.96</v>
      </c>
      <c r="M103">
        <v>1</v>
      </c>
      <c r="N103">
        <v>1</v>
      </c>
      <c r="O103" t="s">
        <v>23</v>
      </c>
    </row>
    <row r="104" spans="1:15" x14ac:dyDescent="0.35">
      <c r="A104" t="s">
        <v>15</v>
      </c>
      <c r="B104">
        <v>2007</v>
      </c>
      <c r="C104">
        <v>71</v>
      </c>
      <c r="D104" t="s">
        <v>21</v>
      </c>
      <c r="E104" t="s">
        <v>19</v>
      </c>
      <c r="F104">
        <v>8.51</v>
      </c>
      <c r="G104">
        <v>49.71</v>
      </c>
      <c r="H104">
        <v>138.75</v>
      </c>
      <c r="I104">
        <v>256.08999999999997</v>
      </c>
      <c r="J104">
        <v>5.15</v>
      </c>
      <c r="K104">
        <v>12.41</v>
      </c>
      <c r="L104">
        <v>3.03</v>
      </c>
      <c r="M104">
        <v>1</v>
      </c>
      <c r="N104">
        <v>1</v>
      </c>
      <c r="O104" t="s">
        <v>20</v>
      </c>
    </row>
    <row r="105" spans="1:15" x14ac:dyDescent="0.35">
      <c r="A105" t="s">
        <v>15</v>
      </c>
      <c r="B105">
        <v>2007</v>
      </c>
      <c r="C105">
        <v>49</v>
      </c>
      <c r="D105" t="s">
        <v>16</v>
      </c>
      <c r="E105" t="s">
        <v>17</v>
      </c>
      <c r="F105">
        <v>6.84</v>
      </c>
      <c r="G105">
        <v>46.3</v>
      </c>
      <c r="H105">
        <v>180.72</v>
      </c>
      <c r="I105">
        <v>148.43</v>
      </c>
      <c r="J105">
        <v>3.21</v>
      </c>
      <c r="K105">
        <v>5.47</v>
      </c>
      <c r="L105">
        <v>1.34</v>
      </c>
      <c r="M105">
        <v>1</v>
      </c>
      <c r="N105">
        <v>0</v>
      </c>
      <c r="O105" t="s">
        <v>20</v>
      </c>
    </row>
    <row r="106" spans="1:15" x14ac:dyDescent="0.35">
      <c r="A106" t="s">
        <v>15</v>
      </c>
      <c r="B106">
        <v>2007</v>
      </c>
      <c r="C106">
        <v>79</v>
      </c>
      <c r="D106" t="s">
        <v>16</v>
      </c>
      <c r="E106" t="s">
        <v>19</v>
      </c>
      <c r="F106">
        <v>8.1</v>
      </c>
      <c r="G106">
        <v>45.36</v>
      </c>
      <c r="H106">
        <v>215.63</v>
      </c>
      <c r="I106">
        <v>214.45</v>
      </c>
      <c r="J106">
        <v>4.7300000000000004</v>
      </c>
      <c r="K106">
        <v>9.27</v>
      </c>
      <c r="L106">
        <v>2.27</v>
      </c>
      <c r="M106">
        <v>1</v>
      </c>
      <c r="N106">
        <v>0</v>
      </c>
      <c r="O106" t="s">
        <v>20</v>
      </c>
    </row>
    <row r="107" spans="1:15" x14ac:dyDescent="0.35">
      <c r="A107" t="s">
        <v>15</v>
      </c>
      <c r="B107">
        <v>2007</v>
      </c>
      <c r="C107">
        <v>28</v>
      </c>
      <c r="D107" t="s">
        <v>16</v>
      </c>
      <c r="E107" t="s">
        <v>17</v>
      </c>
      <c r="F107">
        <v>8.2799999999999994</v>
      </c>
      <c r="G107">
        <v>45.3</v>
      </c>
      <c r="H107">
        <v>148.06</v>
      </c>
      <c r="I107">
        <v>195.69</v>
      </c>
      <c r="J107">
        <v>4.32</v>
      </c>
      <c r="K107">
        <v>5.56</v>
      </c>
      <c r="L107">
        <v>1.36</v>
      </c>
      <c r="M107">
        <v>1</v>
      </c>
      <c r="N107">
        <v>0</v>
      </c>
      <c r="O107" t="s">
        <v>18</v>
      </c>
    </row>
    <row r="108" spans="1:15" x14ac:dyDescent="0.35">
      <c r="A108" t="s">
        <v>15</v>
      </c>
      <c r="B108">
        <v>2007</v>
      </c>
      <c r="C108">
        <v>38</v>
      </c>
      <c r="D108" t="s">
        <v>16</v>
      </c>
      <c r="E108" t="s">
        <v>17</v>
      </c>
      <c r="F108">
        <v>5.27</v>
      </c>
      <c r="G108">
        <v>34.71</v>
      </c>
      <c r="H108">
        <v>165.02</v>
      </c>
      <c r="I108">
        <v>158.58000000000001</v>
      </c>
      <c r="J108">
        <v>4.57</v>
      </c>
      <c r="K108">
        <v>2.85</v>
      </c>
      <c r="L108">
        <v>0.7</v>
      </c>
      <c r="M108">
        <v>0</v>
      </c>
      <c r="N108">
        <v>0</v>
      </c>
      <c r="O108" t="s">
        <v>20</v>
      </c>
    </row>
    <row r="109" spans="1:15" x14ac:dyDescent="0.35">
      <c r="A109" t="s">
        <v>15</v>
      </c>
      <c r="B109">
        <v>2007</v>
      </c>
      <c r="C109">
        <v>77</v>
      </c>
      <c r="D109" t="s">
        <v>16</v>
      </c>
      <c r="E109" t="s">
        <v>19</v>
      </c>
      <c r="F109">
        <v>7.76</v>
      </c>
      <c r="G109">
        <v>39.450000000000003</v>
      </c>
      <c r="H109">
        <v>167.46</v>
      </c>
      <c r="I109">
        <v>188.74</v>
      </c>
      <c r="J109">
        <v>4.78</v>
      </c>
      <c r="K109">
        <v>9.6300000000000008</v>
      </c>
      <c r="L109">
        <v>2.35</v>
      </c>
      <c r="M109">
        <v>1</v>
      </c>
      <c r="N109">
        <v>0</v>
      </c>
      <c r="O109" t="s">
        <v>20</v>
      </c>
    </row>
    <row r="110" spans="1:15" x14ac:dyDescent="0.35">
      <c r="A110" t="s">
        <v>15</v>
      </c>
      <c r="B110">
        <v>2007</v>
      </c>
      <c r="C110">
        <v>69</v>
      </c>
      <c r="D110" t="s">
        <v>16</v>
      </c>
      <c r="E110" t="s">
        <v>19</v>
      </c>
      <c r="F110">
        <v>8.1</v>
      </c>
      <c r="G110">
        <v>40.79</v>
      </c>
      <c r="H110">
        <v>159.51</v>
      </c>
      <c r="I110">
        <v>107.37</v>
      </c>
      <c r="J110">
        <v>2.63</v>
      </c>
      <c r="K110">
        <v>7.97</v>
      </c>
      <c r="L110">
        <v>1.95</v>
      </c>
      <c r="M110">
        <v>1</v>
      </c>
      <c r="N110">
        <v>0</v>
      </c>
      <c r="O110" t="s">
        <v>18</v>
      </c>
    </row>
    <row r="111" spans="1:15" x14ac:dyDescent="0.35">
      <c r="A111" t="s">
        <v>15</v>
      </c>
      <c r="B111">
        <v>2007</v>
      </c>
      <c r="C111">
        <v>82</v>
      </c>
      <c r="D111" t="s">
        <v>16</v>
      </c>
      <c r="E111" t="s">
        <v>19</v>
      </c>
      <c r="F111">
        <v>7.28</v>
      </c>
      <c r="G111">
        <v>41.18</v>
      </c>
      <c r="H111">
        <v>180.19</v>
      </c>
      <c r="I111">
        <v>257.14</v>
      </c>
      <c r="J111">
        <v>6.24</v>
      </c>
      <c r="K111">
        <v>8.0500000000000007</v>
      </c>
      <c r="L111">
        <v>1.97</v>
      </c>
      <c r="M111">
        <v>1</v>
      </c>
      <c r="N111">
        <v>0</v>
      </c>
      <c r="O111" t="s">
        <v>20</v>
      </c>
    </row>
    <row r="112" spans="1:15" x14ac:dyDescent="0.35">
      <c r="A112" t="s">
        <v>15</v>
      </c>
      <c r="B112">
        <v>2007</v>
      </c>
      <c r="C112">
        <v>51</v>
      </c>
      <c r="D112" t="s">
        <v>16</v>
      </c>
      <c r="E112" t="s">
        <v>17</v>
      </c>
      <c r="F112">
        <v>7.29</v>
      </c>
      <c r="G112">
        <v>57.24</v>
      </c>
      <c r="H112">
        <v>184.39</v>
      </c>
      <c r="I112">
        <v>182.24</v>
      </c>
      <c r="J112">
        <v>3.18</v>
      </c>
      <c r="K112">
        <v>7.65</v>
      </c>
      <c r="L112">
        <v>1.87</v>
      </c>
      <c r="M112">
        <v>1</v>
      </c>
      <c r="N112">
        <v>0</v>
      </c>
      <c r="O112" t="s">
        <v>20</v>
      </c>
    </row>
    <row r="113" spans="1:15" x14ac:dyDescent="0.35">
      <c r="A113" t="s">
        <v>15</v>
      </c>
      <c r="B113">
        <v>2007</v>
      </c>
      <c r="C113">
        <v>27</v>
      </c>
      <c r="D113" t="s">
        <v>16</v>
      </c>
      <c r="E113" t="s">
        <v>17</v>
      </c>
      <c r="F113">
        <v>8.32</v>
      </c>
      <c r="G113">
        <v>57.1</v>
      </c>
      <c r="H113">
        <v>187.47</v>
      </c>
      <c r="I113">
        <v>157.18</v>
      </c>
      <c r="J113">
        <v>2.75</v>
      </c>
      <c r="K113">
        <v>7.77</v>
      </c>
      <c r="L113">
        <v>1.9</v>
      </c>
      <c r="M113">
        <v>1</v>
      </c>
      <c r="N113">
        <v>0</v>
      </c>
      <c r="O113" t="s">
        <v>20</v>
      </c>
    </row>
    <row r="114" spans="1:15" x14ac:dyDescent="0.35">
      <c r="A114" t="s">
        <v>15</v>
      </c>
      <c r="B114">
        <v>2007</v>
      </c>
      <c r="C114">
        <v>70</v>
      </c>
      <c r="D114" t="s">
        <v>16</v>
      </c>
      <c r="E114" t="s">
        <v>19</v>
      </c>
      <c r="F114">
        <v>6.84</v>
      </c>
      <c r="G114">
        <v>34.06</v>
      </c>
      <c r="H114">
        <v>191.37</v>
      </c>
      <c r="I114">
        <v>185.07</v>
      </c>
      <c r="J114">
        <v>5.43</v>
      </c>
      <c r="K114">
        <v>7.41</v>
      </c>
      <c r="L114">
        <v>1.81</v>
      </c>
      <c r="M114">
        <v>1</v>
      </c>
      <c r="N114">
        <v>0</v>
      </c>
      <c r="O114" t="s">
        <v>20</v>
      </c>
    </row>
    <row r="115" spans="1:15" x14ac:dyDescent="0.35">
      <c r="A115" t="s">
        <v>15</v>
      </c>
      <c r="B115">
        <v>2007</v>
      </c>
      <c r="C115">
        <v>61</v>
      </c>
      <c r="D115" t="s">
        <v>16</v>
      </c>
      <c r="E115" t="s">
        <v>19</v>
      </c>
      <c r="F115">
        <v>4.8</v>
      </c>
      <c r="G115">
        <v>62.38</v>
      </c>
      <c r="H115">
        <v>155.43</v>
      </c>
      <c r="I115">
        <v>321.04000000000002</v>
      </c>
      <c r="J115">
        <v>5.15</v>
      </c>
      <c r="K115">
        <v>9.89</v>
      </c>
      <c r="L115">
        <v>2.42</v>
      </c>
      <c r="M115">
        <v>0</v>
      </c>
      <c r="N115">
        <v>0</v>
      </c>
      <c r="O115" t="s">
        <v>20</v>
      </c>
    </row>
    <row r="116" spans="1:15" x14ac:dyDescent="0.35">
      <c r="A116" t="s">
        <v>15</v>
      </c>
      <c r="B116">
        <v>2007</v>
      </c>
      <c r="C116">
        <v>66</v>
      </c>
      <c r="D116" t="s">
        <v>16</v>
      </c>
      <c r="E116" t="s">
        <v>19</v>
      </c>
      <c r="F116">
        <v>6.97</v>
      </c>
      <c r="G116">
        <v>53.14</v>
      </c>
      <c r="H116">
        <v>130.25</v>
      </c>
      <c r="I116">
        <v>100.11</v>
      </c>
      <c r="J116">
        <v>1.88</v>
      </c>
      <c r="K116">
        <v>8.18</v>
      </c>
      <c r="L116">
        <v>2</v>
      </c>
      <c r="M116">
        <v>1</v>
      </c>
      <c r="N116">
        <v>0</v>
      </c>
      <c r="O116" t="s">
        <v>18</v>
      </c>
    </row>
    <row r="117" spans="1:15" x14ac:dyDescent="0.35">
      <c r="A117" t="s">
        <v>15</v>
      </c>
      <c r="B117">
        <v>2007</v>
      </c>
      <c r="C117">
        <v>40</v>
      </c>
      <c r="D117" t="s">
        <v>16</v>
      </c>
      <c r="E117" t="s">
        <v>17</v>
      </c>
      <c r="F117">
        <v>6.81</v>
      </c>
      <c r="G117">
        <v>58.65</v>
      </c>
      <c r="H117">
        <v>119.37</v>
      </c>
      <c r="I117">
        <v>79.41</v>
      </c>
      <c r="J117">
        <v>1.35</v>
      </c>
      <c r="K117">
        <v>4.8</v>
      </c>
      <c r="L117">
        <v>1.17</v>
      </c>
      <c r="M117">
        <v>1</v>
      </c>
      <c r="N117">
        <v>0</v>
      </c>
      <c r="O117" t="s">
        <v>23</v>
      </c>
    </row>
    <row r="118" spans="1:15" x14ac:dyDescent="0.35">
      <c r="A118" t="s">
        <v>15</v>
      </c>
      <c r="B118">
        <v>2007</v>
      </c>
      <c r="C118">
        <v>47</v>
      </c>
      <c r="D118" t="s">
        <v>21</v>
      </c>
      <c r="E118" t="s">
        <v>17</v>
      </c>
      <c r="F118">
        <v>6.99</v>
      </c>
      <c r="G118">
        <v>54.25</v>
      </c>
      <c r="H118">
        <v>138.01</v>
      </c>
      <c r="I118">
        <v>180.3</v>
      </c>
      <c r="J118">
        <v>3.32</v>
      </c>
      <c r="K118">
        <v>13.78</v>
      </c>
      <c r="L118">
        <v>3.37</v>
      </c>
      <c r="M118">
        <v>1</v>
      </c>
      <c r="N118">
        <v>1</v>
      </c>
      <c r="O118" t="s">
        <v>18</v>
      </c>
    </row>
    <row r="119" spans="1:15" x14ac:dyDescent="0.35">
      <c r="A119" t="s">
        <v>15</v>
      </c>
      <c r="B119">
        <v>2007</v>
      </c>
      <c r="C119">
        <v>77</v>
      </c>
      <c r="D119" t="s">
        <v>21</v>
      </c>
      <c r="E119" t="s">
        <v>19</v>
      </c>
      <c r="F119">
        <v>7.27</v>
      </c>
      <c r="G119">
        <v>36.67</v>
      </c>
      <c r="H119">
        <v>157.83000000000001</v>
      </c>
      <c r="I119">
        <v>108.03</v>
      </c>
      <c r="J119">
        <v>2.95</v>
      </c>
      <c r="K119">
        <v>14.21</v>
      </c>
      <c r="L119">
        <v>3.47</v>
      </c>
      <c r="M119">
        <v>1</v>
      </c>
      <c r="N119">
        <v>1</v>
      </c>
      <c r="O119" t="s">
        <v>18</v>
      </c>
    </row>
    <row r="120" spans="1:15" x14ac:dyDescent="0.35">
      <c r="A120" t="s">
        <v>15</v>
      </c>
      <c r="B120">
        <v>2007</v>
      </c>
      <c r="C120">
        <v>49</v>
      </c>
      <c r="D120" t="s">
        <v>21</v>
      </c>
      <c r="E120" t="s">
        <v>17</v>
      </c>
      <c r="F120">
        <v>7.93</v>
      </c>
      <c r="G120">
        <v>33.24</v>
      </c>
      <c r="H120">
        <v>114.63</v>
      </c>
      <c r="I120">
        <v>228.11</v>
      </c>
      <c r="J120">
        <v>6.86</v>
      </c>
      <c r="K120">
        <v>14.28</v>
      </c>
      <c r="L120">
        <v>3.49</v>
      </c>
      <c r="M120">
        <v>1</v>
      </c>
      <c r="N120">
        <v>1</v>
      </c>
      <c r="O120" t="s">
        <v>20</v>
      </c>
    </row>
    <row r="121" spans="1:15" x14ac:dyDescent="0.35">
      <c r="A121" t="s">
        <v>15</v>
      </c>
      <c r="B121">
        <v>2007</v>
      </c>
      <c r="C121">
        <v>41</v>
      </c>
      <c r="D121" t="s">
        <v>21</v>
      </c>
      <c r="E121" t="s">
        <v>17</v>
      </c>
      <c r="F121">
        <v>6.95</v>
      </c>
      <c r="G121">
        <v>42.05</v>
      </c>
      <c r="H121">
        <v>180.53</v>
      </c>
      <c r="I121">
        <v>194.71</v>
      </c>
      <c r="J121">
        <v>4.63</v>
      </c>
      <c r="K121">
        <v>15.26</v>
      </c>
      <c r="L121">
        <v>3.73</v>
      </c>
      <c r="M121">
        <v>1</v>
      </c>
      <c r="N121">
        <v>1</v>
      </c>
      <c r="O121" t="s">
        <v>20</v>
      </c>
    </row>
    <row r="122" spans="1:15" x14ac:dyDescent="0.35">
      <c r="A122" t="s">
        <v>15</v>
      </c>
      <c r="B122">
        <v>2007</v>
      </c>
      <c r="C122">
        <v>74</v>
      </c>
      <c r="D122" t="s">
        <v>21</v>
      </c>
      <c r="E122" t="s">
        <v>19</v>
      </c>
      <c r="F122">
        <v>8.3699999999999992</v>
      </c>
      <c r="G122">
        <v>47.48</v>
      </c>
      <c r="H122">
        <v>135.91999999999999</v>
      </c>
      <c r="I122">
        <v>175.55</v>
      </c>
      <c r="J122">
        <v>3.7</v>
      </c>
      <c r="K122">
        <v>15.35</v>
      </c>
      <c r="L122">
        <v>3.75</v>
      </c>
      <c r="M122">
        <v>1</v>
      </c>
      <c r="N122">
        <v>1</v>
      </c>
      <c r="O122" t="s">
        <v>18</v>
      </c>
    </row>
    <row r="123" spans="1:15" x14ac:dyDescent="0.35">
      <c r="A123" t="s">
        <v>15</v>
      </c>
      <c r="B123">
        <v>2007</v>
      </c>
      <c r="C123">
        <v>15</v>
      </c>
      <c r="D123" t="s">
        <v>16</v>
      </c>
      <c r="E123" t="s">
        <v>24</v>
      </c>
      <c r="F123">
        <v>5.81</v>
      </c>
      <c r="G123">
        <v>45.99</v>
      </c>
      <c r="H123">
        <v>81.14</v>
      </c>
      <c r="I123">
        <v>114.52</v>
      </c>
      <c r="J123">
        <v>2.4900000000000002</v>
      </c>
      <c r="K123">
        <v>10.74</v>
      </c>
      <c r="L123">
        <v>2.62</v>
      </c>
      <c r="M123">
        <v>0</v>
      </c>
      <c r="N123">
        <v>1</v>
      </c>
      <c r="O123" t="s">
        <v>23</v>
      </c>
    </row>
    <row r="124" spans="1:15" x14ac:dyDescent="0.35">
      <c r="A124" t="s">
        <v>15</v>
      </c>
      <c r="B124">
        <v>2007</v>
      </c>
      <c r="C124">
        <v>75</v>
      </c>
      <c r="D124" t="s">
        <v>21</v>
      </c>
      <c r="E124" t="s">
        <v>19</v>
      </c>
      <c r="F124">
        <v>7.49</v>
      </c>
      <c r="G124">
        <v>36.4</v>
      </c>
      <c r="H124">
        <v>113.94</v>
      </c>
      <c r="I124">
        <v>291.83999999999997</v>
      </c>
      <c r="J124">
        <v>8.02</v>
      </c>
      <c r="K124">
        <v>10.76</v>
      </c>
      <c r="L124">
        <v>2.63</v>
      </c>
      <c r="M124">
        <v>1</v>
      </c>
      <c r="N124">
        <v>1</v>
      </c>
      <c r="O124" t="s">
        <v>20</v>
      </c>
    </row>
    <row r="125" spans="1:15" x14ac:dyDescent="0.35">
      <c r="A125" t="s">
        <v>15</v>
      </c>
      <c r="B125">
        <v>2007</v>
      </c>
      <c r="C125">
        <v>67</v>
      </c>
      <c r="D125" t="s">
        <v>21</v>
      </c>
      <c r="E125" t="s">
        <v>19</v>
      </c>
      <c r="F125">
        <v>8.85</v>
      </c>
      <c r="G125">
        <v>43.65</v>
      </c>
      <c r="H125">
        <v>162.38999999999999</v>
      </c>
      <c r="I125">
        <v>76.81</v>
      </c>
      <c r="J125">
        <v>1.76</v>
      </c>
      <c r="K125">
        <v>10.74</v>
      </c>
      <c r="L125">
        <v>2.62</v>
      </c>
      <c r="M125">
        <v>1</v>
      </c>
      <c r="N125">
        <v>1</v>
      </c>
      <c r="O125" t="s">
        <v>20</v>
      </c>
    </row>
    <row r="126" spans="1:15" x14ac:dyDescent="0.35">
      <c r="A126" t="s">
        <v>15</v>
      </c>
      <c r="B126">
        <v>2007</v>
      </c>
      <c r="C126">
        <v>79</v>
      </c>
      <c r="D126" t="s">
        <v>21</v>
      </c>
      <c r="E126" t="s">
        <v>19</v>
      </c>
      <c r="F126">
        <v>8.17</v>
      </c>
      <c r="G126">
        <v>47.2</v>
      </c>
      <c r="H126">
        <v>120.5</v>
      </c>
      <c r="I126">
        <v>230.87</v>
      </c>
      <c r="J126">
        <v>4.8899999999999997</v>
      </c>
      <c r="K126">
        <v>10.69</v>
      </c>
      <c r="L126">
        <v>2.61</v>
      </c>
      <c r="M126">
        <v>1</v>
      </c>
      <c r="N126">
        <v>1</v>
      </c>
      <c r="O126" t="s">
        <v>20</v>
      </c>
    </row>
    <row r="127" spans="1:15" x14ac:dyDescent="0.35">
      <c r="A127" t="s">
        <v>15</v>
      </c>
      <c r="B127">
        <v>2007</v>
      </c>
      <c r="C127">
        <v>72</v>
      </c>
      <c r="D127" t="s">
        <v>21</v>
      </c>
      <c r="E127" t="s">
        <v>19</v>
      </c>
      <c r="F127">
        <v>6.67</v>
      </c>
      <c r="G127">
        <v>28.25</v>
      </c>
      <c r="H127">
        <v>143.47999999999999</v>
      </c>
      <c r="I127">
        <v>191.78</v>
      </c>
      <c r="J127">
        <v>6.79</v>
      </c>
      <c r="K127">
        <v>10.45</v>
      </c>
      <c r="L127">
        <v>2.56</v>
      </c>
      <c r="M127">
        <v>1</v>
      </c>
      <c r="N127">
        <v>1</v>
      </c>
      <c r="O127" t="s">
        <v>18</v>
      </c>
    </row>
    <row r="128" spans="1:15" x14ac:dyDescent="0.35">
      <c r="A128" t="s">
        <v>15</v>
      </c>
      <c r="B128">
        <v>2007</v>
      </c>
      <c r="C128">
        <v>22</v>
      </c>
      <c r="D128" t="s">
        <v>21</v>
      </c>
      <c r="E128" t="s">
        <v>17</v>
      </c>
      <c r="F128">
        <v>7.48</v>
      </c>
      <c r="G128">
        <v>33.479999999999997</v>
      </c>
      <c r="H128">
        <v>132.41</v>
      </c>
      <c r="I128">
        <v>240.03</v>
      </c>
      <c r="J128">
        <v>7.17</v>
      </c>
      <c r="K128">
        <v>10.220000000000001</v>
      </c>
      <c r="L128">
        <v>2.5</v>
      </c>
      <c r="M128">
        <v>1</v>
      </c>
      <c r="N128">
        <v>0</v>
      </c>
      <c r="O128" t="s">
        <v>20</v>
      </c>
    </row>
    <row r="129" spans="1:15" x14ac:dyDescent="0.35">
      <c r="A129" t="s">
        <v>15</v>
      </c>
      <c r="B129">
        <v>2007</v>
      </c>
      <c r="C129">
        <v>51</v>
      </c>
      <c r="D129" t="s">
        <v>16</v>
      </c>
      <c r="E129" t="s">
        <v>17</v>
      </c>
      <c r="F129">
        <v>8.81</v>
      </c>
      <c r="G129">
        <v>53.16</v>
      </c>
      <c r="H129">
        <v>191.42</v>
      </c>
      <c r="I129">
        <v>185.91</v>
      </c>
      <c r="J129">
        <v>3.5</v>
      </c>
      <c r="K129">
        <v>11.23</v>
      </c>
      <c r="L129">
        <v>2.74</v>
      </c>
      <c r="M129">
        <v>1</v>
      </c>
      <c r="N129">
        <v>1</v>
      </c>
      <c r="O129" t="s">
        <v>20</v>
      </c>
    </row>
    <row r="130" spans="1:15" x14ac:dyDescent="0.35">
      <c r="A130" t="s">
        <v>15</v>
      </c>
      <c r="B130">
        <v>2007</v>
      </c>
      <c r="C130">
        <v>11</v>
      </c>
      <c r="D130" t="s">
        <v>21</v>
      </c>
      <c r="E130" t="s">
        <v>22</v>
      </c>
      <c r="F130">
        <v>6.21</v>
      </c>
      <c r="G130">
        <v>38.92</v>
      </c>
      <c r="H130">
        <v>130.41999999999999</v>
      </c>
      <c r="I130">
        <v>150.08000000000001</v>
      </c>
      <c r="J130">
        <v>3.86</v>
      </c>
      <c r="K130">
        <v>9.35</v>
      </c>
      <c r="L130">
        <v>2.29</v>
      </c>
      <c r="M130">
        <v>0</v>
      </c>
      <c r="N130">
        <v>0</v>
      </c>
      <c r="O130" t="s">
        <v>18</v>
      </c>
    </row>
    <row r="131" spans="1:15" x14ac:dyDescent="0.35">
      <c r="A131" t="s">
        <v>15</v>
      </c>
      <c r="B131">
        <v>2007</v>
      </c>
      <c r="C131">
        <v>58</v>
      </c>
      <c r="D131" t="s">
        <v>21</v>
      </c>
      <c r="E131" t="s">
        <v>17</v>
      </c>
      <c r="F131">
        <v>6.87</v>
      </c>
      <c r="G131">
        <v>24.19</v>
      </c>
      <c r="H131">
        <v>159.47</v>
      </c>
      <c r="I131">
        <v>148.51</v>
      </c>
      <c r="J131">
        <v>6.14</v>
      </c>
      <c r="K131">
        <v>9.1999999999999993</v>
      </c>
      <c r="L131">
        <v>2.25</v>
      </c>
      <c r="M131">
        <v>1</v>
      </c>
      <c r="N131">
        <v>0</v>
      </c>
      <c r="O131" t="s">
        <v>18</v>
      </c>
    </row>
    <row r="132" spans="1:15" x14ac:dyDescent="0.35">
      <c r="A132" t="s">
        <v>15</v>
      </c>
      <c r="B132">
        <v>2007</v>
      </c>
      <c r="C132">
        <v>56</v>
      </c>
      <c r="D132" t="s">
        <v>21</v>
      </c>
      <c r="E132" t="s">
        <v>17</v>
      </c>
      <c r="F132">
        <v>6.33</v>
      </c>
      <c r="G132">
        <v>45.26</v>
      </c>
      <c r="H132">
        <v>180.61</v>
      </c>
      <c r="I132">
        <v>149.57</v>
      </c>
      <c r="J132">
        <v>3.31</v>
      </c>
      <c r="K132">
        <v>8.8800000000000008</v>
      </c>
      <c r="L132">
        <v>2.17</v>
      </c>
      <c r="M132">
        <v>0</v>
      </c>
      <c r="N132">
        <v>0</v>
      </c>
      <c r="O132" t="s">
        <v>20</v>
      </c>
    </row>
    <row r="133" spans="1:15" x14ac:dyDescent="0.35">
      <c r="A133" t="s">
        <v>15</v>
      </c>
      <c r="B133">
        <v>2007</v>
      </c>
      <c r="C133">
        <v>31</v>
      </c>
      <c r="D133" t="s">
        <v>21</v>
      </c>
      <c r="E133" t="s">
        <v>17</v>
      </c>
      <c r="F133">
        <v>6.96</v>
      </c>
      <c r="G133">
        <v>40.1</v>
      </c>
      <c r="H133">
        <v>87.02</v>
      </c>
      <c r="I133">
        <v>209.92</v>
      </c>
      <c r="J133">
        <v>5.24</v>
      </c>
      <c r="K133">
        <v>8.36</v>
      </c>
      <c r="L133">
        <v>2.04</v>
      </c>
      <c r="M133">
        <v>1</v>
      </c>
      <c r="N133">
        <v>0</v>
      </c>
      <c r="O133" t="s">
        <v>20</v>
      </c>
    </row>
    <row r="134" spans="1:15" x14ac:dyDescent="0.35">
      <c r="A134" t="s">
        <v>15</v>
      </c>
      <c r="B134">
        <v>2007</v>
      </c>
      <c r="C134">
        <v>81</v>
      </c>
      <c r="D134" t="s">
        <v>21</v>
      </c>
      <c r="E134" t="s">
        <v>19</v>
      </c>
      <c r="F134">
        <v>7.92</v>
      </c>
      <c r="G134">
        <v>32.17</v>
      </c>
      <c r="H134">
        <v>128</v>
      </c>
      <c r="I134">
        <v>105.6</v>
      </c>
      <c r="J134">
        <v>3.28</v>
      </c>
      <c r="K134">
        <v>8.34</v>
      </c>
      <c r="L134">
        <v>2.04</v>
      </c>
      <c r="M134">
        <v>1</v>
      </c>
      <c r="N134">
        <v>0</v>
      </c>
      <c r="O134" t="s">
        <v>23</v>
      </c>
    </row>
    <row r="135" spans="1:15" x14ac:dyDescent="0.35">
      <c r="A135" t="s">
        <v>15</v>
      </c>
      <c r="B135">
        <v>2007</v>
      </c>
      <c r="C135">
        <v>13</v>
      </c>
      <c r="D135" t="s">
        <v>21</v>
      </c>
      <c r="E135" t="s">
        <v>24</v>
      </c>
      <c r="F135">
        <v>7.08</v>
      </c>
      <c r="G135">
        <v>41.3</v>
      </c>
      <c r="H135">
        <v>145.69</v>
      </c>
      <c r="I135">
        <v>190.99</v>
      </c>
      <c r="J135">
        <v>4.62</v>
      </c>
      <c r="K135">
        <v>8.0399999999999991</v>
      </c>
      <c r="L135">
        <v>1.96</v>
      </c>
      <c r="M135">
        <v>1</v>
      </c>
      <c r="N135">
        <v>0</v>
      </c>
      <c r="O135" t="s">
        <v>18</v>
      </c>
    </row>
    <row r="136" spans="1:15" x14ac:dyDescent="0.35">
      <c r="A136" t="s">
        <v>15</v>
      </c>
      <c r="B136">
        <v>2007</v>
      </c>
      <c r="C136">
        <v>20</v>
      </c>
      <c r="D136" t="s">
        <v>21</v>
      </c>
      <c r="E136" t="s">
        <v>17</v>
      </c>
      <c r="F136">
        <v>7.22</v>
      </c>
      <c r="G136">
        <v>54.9</v>
      </c>
      <c r="H136">
        <v>103.21</v>
      </c>
      <c r="I136">
        <v>144.65</v>
      </c>
      <c r="J136">
        <v>2.63</v>
      </c>
      <c r="K136">
        <v>7.78</v>
      </c>
      <c r="L136">
        <v>1.9</v>
      </c>
      <c r="M136">
        <v>1</v>
      </c>
      <c r="N136">
        <v>0</v>
      </c>
      <c r="O136" t="s">
        <v>23</v>
      </c>
    </row>
    <row r="137" spans="1:15" x14ac:dyDescent="0.35">
      <c r="A137" t="s">
        <v>15</v>
      </c>
      <c r="B137">
        <v>2007</v>
      </c>
      <c r="C137">
        <v>25</v>
      </c>
      <c r="D137" t="s">
        <v>21</v>
      </c>
      <c r="E137" t="s">
        <v>17</v>
      </c>
      <c r="F137">
        <v>5</v>
      </c>
      <c r="G137">
        <v>45.17</v>
      </c>
      <c r="H137">
        <v>114.99</v>
      </c>
      <c r="I137">
        <v>207.21</v>
      </c>
      <c r="J137">
        <v>4.59</v>
      </c>
      <c r="K137">
        <v>7.7</v>
      </c>
      <c r="L137">
        <v>1.88</v>
      </c>
      <c r="M137">
        <v>0</v>
      </c>
      <c r="N137">
        <v>0</v>
      </c>
      <c r="O137" t="s">
        <v>20</v>
      </c>
    </row>
    <row r="138" spans="1:15" x14ac:dyDescent="0.35">
      <c r="A138" t="s">
        <v>15</v>
      </c>
      <c r="B138">
        <v>2007</v>
      </c>
      <c r="C138">
        <v>57</v>
      </c>
      <c r="D138" t="s">
        <v>21</v>
      </c>
      <c r="E138" t="s">
        <v>17</v>
      </c>
      <c r="F138">
        <v>8.4499999999999993</v>
      </c>
      <c r="G138">
        <v>31.77</v>
      </c>
      <c r="H138">
        <v>173.86</v>
      </c>
      <c r="I138">
        <v>105.61</v>
      </c>
      <c r="J138">
        <v>3.32</v>
      </c>
      <c r="K138">
        <v>7.04</v>
      </c>
      <c r="L138">
        <v>1.72</v>
      </c>
      <c r="M138">
        <v>1</v>
      </c>
      <c r="N138">
        <v>0</v>
      </c>
      <c r="O138" t="s">
        <v>20</v>
      </c>
    </row>
    <row r="139" spans="1:15" x14ac:dyDescent="0.35">
      <c r="A139" t="s">
        <v>15</v>
      </c>
      <c r="B139">
        <v>2007</v>
      </c>
      <c r="C139">
        <v>47</v>
      </c>
      <c r="D139" t="s">
        <v>21</v>
      </c>
      <c r="E139" t="s">
        <v>17</v>
      </c>
      <c r="F139">
        <v>6.99</v>
      </c>
      <c r="G139">
        <v>34.04</v>
      </c>
      <c r="H139">
        <v>174.95</v>
      </c>
      <c r="I139">
        <v>156</v>
      </c>
      <c r="J139">
        <v>4.58</v>
      </c>
      <c r="K139">
        <v>6.76</v>
      </c>
      <c r="L139">
        <v>1.65</v>
      </c>
      <c r="M139">
        <v>1</v>
      </c>
      <c r="N139">
        <v>0</v>
      </c>
      <c r="O139" t="s">
        <v>20</v>
      </c>
    </row>
    <row r="140" spans="1:15" x14ac:dyDescent="0.35">
      <c r="A140" t="s">
        <v>15</v>
      </c>
      <c r="B140">
        <v>2007</v>
      </c>
      <c r="C140">
        <v>77</v>
      </c>
      <c r="D140" t="s">
        <v>16</v>
      </c>
      <c r="E140" t="s">
        <v>19</v>
      </c>
      <c r="F140">
        <v>7.73</v>
      </c>
      <c r="G140">
        <v>48.15</v>
      </c>
      <c r="H140">
        <v>138.68</v>
      </c>
      <c r="I140">
        <v>198.8</v>
      </c>
      <c r="J140">
        <v>4.13</v>
      </c>
      <c r="K140">
        <v>12.43</v>
      </c>
      <c r="L140">
        <v>3.04</v>
      </c>
      <c r="M140">
        <v>1</v>
      </c>
      <c r="N140">
        <v>1</v>
      </c>
      <c r="O140" t="s">
        <v>18</v>
      </c>
    </row>
    <row r="141" spans="1:15" x14ac:dyDescent="0.35">
      <c r="A141" t="s">
        <v>15</v>
      </c>
      <c r="B141">
        <v>2007</v>
      </c>
      <c r="C141">
        <v>82</v>
      </c>
      <c r="D141" t="s">
        <v>16</v>
      </c>
      <c r="E141" t="s">
        <v>19</v>
      </c>
      <c r="F141">
        <v>8.68</v>
      </c>
      <c r="G141">
        <v>43.37</v>
      </c>
      <c r="H141">
        <v>127.18</v>
      </c>
      <c r="I141">
        <v>217.78</v>
      </c>
      <c r="J141">
        <v>5.0199999999999996</v>
      </c>
      <c r="K141">
        <v>12.77</v>
      </c>
      <c r="L141">
        <v>3.12</v>
      </c>
      <c r="M141">
        <v>1</v>
      </c>
      <c r="N141">
        <v>1</v>
      </c>
      <c r="O141" t="s">
        <v>20</v>
      </c>
    </row>
    <row r="142" spans="1:15" x14ac:dyDescent="0.35">
      <c r="A142" t="s">
        <v>15</v>
      </c>
      <c r="B142">
        <v>2007</v>
      </c>
      <c r="C142">
        <v>45</v>
      </c>
      <c r="D142" t="s">
        <v>21</v>
      </c>
      <c r="E142" t="s">
        <v>17</v>
      </c>
      <c r="F142">
        <v>5.91</v>
      </c>
      <c r="G142">
        <v>66.63</v>
      </c>
      <c r="H142">
        <v>92.58</v>
      </c>
      <c r="I142">
        <v>256.01</v>
      </c>
      <c r="J142">
        <v>3.84</v>
      </c>
      <c r="K142">
        <v>6</v>
      </c>
      <c r="L142">
        <v>1.47</v>
      </c>
      <c r="M142">
        <v>0</v>
      </c>
      <c r="N142">
        <v>0</v>
      </c>
      <c r="O142" t="s">
        <v>20</v>
      </c>
    </row>
    <row r="143" spans="1:15" x14ac:dyDescent="0.35">
      <c r="A143" t="s">
        <v>15</v>
      </c>
      <c r="B143">
        <v>2007</v>
      </c>
      <c r="C143">
        <v>6</v>
      </c>
      <c r="D143" t="s">
        <v>21</v>
      </c>
      <c r="E143" t="s">
        <v>22</v>
      </c>
      <c r="F143">
        <v>5.83</v>
      </c>
      <c r="G143">
        <v>51.88</v>
      </c>
      <c r="H143">
        <v>141.93</v>
      </c>
      <c r="I143">
        <v>167.62</v>
      </c>
      <c r="J143">
        <v>3.23</v>
      </c>
      <c r="K143">
        <v>5.97</v>
      </c>
      <c r="L143">
        <v>1.46</v>
      </c>
      <c r="M143">
        <v>0</v>
      </c>
      <c r="N143">
        <v>0</v>
      </c>
      <c r="O143" t="s">
        <v>18</v>
      </c>
    </row>
    <row r="144" spans="1:15" x14ac:dyDescent="0.35">
      <c r="A144" t="s">
        <v>15</v>
      </c>
      <c r="B144">
        <v>2007</v>
      </c>
      <c r="C144">
        <v>60</v>
      </c>
      <c r="D144" t="s">
        <v>16</v>
      </c>
      <c r="E144" t="s">
        <v>19</v>
      </c>
      <c r="F144">
        <v>6.24</v>
      </c>
      <c r="G144">
        <v>47.41</v>
      </c>
      <c r="H144">
        <v>154.38</v>
      </c>
      <c r="I144">
        <v>198.41</v>
      </c>
      <c r="J144">
        <v>4.18</v>
      </c>
      <c r="K144">
        <v>13.4</v>
      </c>
      <c r="L144">
        <v>3.27</v>
      </c>
      <c r="M144">
        <v>0</v>
      </c>
      <c r="N144">
        <v>1</v>
      </c>
      <c r="O144" t="s">
        <v>18</v>
      </c>
    </row>
    <row r="145" spans="1:15" x14ac:dyDescent="0.35">
      <c r="A145" t="s">
        <v>15</v>
      </c>
      <c r="B145">
        <v>2007</v>
      </c>
      <c r="C145">
        <v>83</v>
      </c>
      <c r="D145" t="s">
        <v>21</v>
      </c>
      <c r="E145" t="s">
        <v>19</v>
      </c>
      <c r="F145">
        <v>7.72</v>
      </c>
      <c r="G145">
        <v>55.63</v>
      </c>
      <c r="H145">
        <v>143.37</v>
      </c>
      <c r="I145">
        <v>127.63</v>
      </c>
      <c r="J145">
        <v>2.29</v>
      </c>
      <c r="K145">
        <v>4.72</v>
      </c>
      <c r="L145">
        <v>1.1499999999999999</v>
      </c>
      <c r="M145">
        <v>1</v>
      </c>
      <c r="N145">
        <v>0</v>
      </c>
      <c r="O145" t="s">
        <v>18</v>
      </c>
    </row>
    <row r="146" spans="1:15" x14ac:dyDescent="0.35">
      <c r="A146" t="s">
        <v>15</v>
      </c>
      <c r="B146">
        <v>2007</v>
      </c>
      <c r="C146">
        <v>27</v>
      </c>
      <c r="D146" t="s">
        <v>21</v>
      </c>
      <c r="E146" t="s">
        <v>17</v>
      </c>
      <c r="F146">
        <v>8.49</v>
      </c>
      <c r="G146">
        <v>39.04</v>
      </c>
      <c r="H146">
        <v>106.27</v>
      </c>
      <c r="I146">
        <v>219.46</v>
      </c>
      <c r="J146">
        <v>5.62</v>
      </c>
      <c r="K146">
        <v>4.21</v>
      </c>
      <c r="L146">
        <v>1.03</v>
      </c>
      <c r="M146">
        <v>1</v>
      </c>
      <c r="N146">
        <v>0</v>
      </c>
      <c r="O146" t="s">
        <v>20</v>
      </c>
    </row>
    <row r="147" spans="1:15" x14ac:dyDescent="0.35">
      <c r="A147" t="s">
        <v>15</v>
      </c>
      <c r="B147">
        <v>2007</v>
      </c>
      <c r="C147">
        <v>1</v>
      </c>
      <c r="D147" t="s">
        <v>21</v>
      </c>
      <c r="E147" t="s">
        <v>22</v>
      </c>
      <c r="F147">
        <v>5.83</v>
      </c>
      <c r="G147">
        <v>52.66</v>
      </c>
      <c r="H147">
        <v>153.56</v>
      </c>
      <c r="I147">
        <v>151.07</v>
      </c>
      <c r="J147">
        <v>2.87</v>
      </c>
      <c r="K147">
        <v>3.86</v>
      </c>
      <c r="L147">
        <v>0.94</v>
      </c>
      <c r="M147">
        <v>0</v>
      </c>
      <c r="N147">
        <v>0</v>
      </c>
      <c r="O147" t="s">
        <v>18</v>
      </c>
    </row>
    <row r="148" spans="1:15" x14ac:dyDescent="0.35">
      <c r="A148" t="s">
        <v>15</v>
      </c>
      <c r="B148">
        <v>2007</v>
      </c>
      <c r="C148">
        <v>14</v>
      </c>
      <c r="D148" t="s">
        <v>21</v>
      </c>
      <c r="E148" t="s">
        <v>24</v>
      </c>
      <c r="F148">
        <v>5.05</v>
      </c>
      <c r="G148">
        <v>44.89</v>
      </c>
      <c r="H148">
        <v>144.28</v>
      </c>
      <c r="I148">
        <v>205.59</v>
      </c>
      <c r="J148">
        <v>4.58</v>
      </c>
      <c r="K148">
        <v>3.65</v>
      </c>
      <c r="L148">
        <v>0.89</v>
      </c>
      <c r="M148">
        <v>0</v>
      </c>
      <c r="N148">
        <v>0</v>
      </c>
      <c r="O148" t="s">
        <v>20</v>
      </c>
    </row>
    <row r="149" spans="1:15" x14ac:dyDescent="0.35">
      <c r="A149" t="s">
        <v>15</v>
      </c>
      <c r="B149">
        <v>2007</v>
      </c>
      <c r="C149">
        <v>21</v>
      </c>
      <c r="D149" t="s">
        <v>21</v>
      </c>
      <c r="E149" t="s">
        <v>17</v>
      </c>
      <c r="F149">
        <v>5.77</v>
      </c>
      <c r="G149">
        <v>25.59</v>
      </c>
      <c r="H149">
        <v>172.55</v>
      </c>
      <c r="I149">
        <v>195.89</v>
      </c>
      <c r="J149">
        <v>7.65</v>
      </c>
      <c r="K149">
        <v>3.56</v>
      </c>
      <c r="L149">
        <v>0.87</v>
      </c>
      <c r="M149">
        <v>0</v>
      </c>
      <c r="N149">
        <v>0</v>
      </c>
      <c r="O149" t="s">
        <v>20</v>
      </c>
    </row>
    <row r="150" spans="1:15" x14ac:dyDescent="0.35">
      <c r="A150" t="s">
        <v>15</v>
      </c>
      <c r="B150">
        <v>2007</v>
      </c>
      <c r="C150">
        <v>17</v>
      </c>
      <c r="D150" t="s">
        <v>21</v>
      </c>
      <c r="E150" t="s">
        <v>24</v>
      </c>
      <c r="F150">
        <v>7.57</v>
      </c>
      <c r="G150">
        <v>44.11</v>
      </c>
      <c r="H150">
        <v>76.03</v>
      </c>
      <c r="I150">
        <v>163.72999999999999</v>
      </c>
      <c r="J150">
        <v>3.71</v>
      </c>
      <c r="K150">
        <v>1.62</v>
      </c>
      <c r="L150">
        <v>0.4</v>
      </c>
      <c r="M150">
        <v>1</v>
      </c>
      <c r="N150">
        <v>0</v>
      </c>
      <c r="O150" t="s">
        <v>23</v>
      </c>
    </row>
    <row r="151" spans="1:15" x14ac:dyDescent="0.35">
      <c r="A151" t="s">
        <v>15</v>
      </c>
      <c r="B151">
        <v>2007</v>
      </c>
      <c r="C151">
        <v>48</v>
      </c>
      <c r="D151" t="s">
        <v>21</v>
      </c>
      <c r="E151" t="s">
        <v>17</v>
      </c>
      <c r="F151">
        <v>8.1300000000000008</v>
      </c>
      <c r="G151">
        <v>39.130000000000003</v>
      </c>
      <c r="H151">
        <v>147.25</v>
      </c>
      <c r="I151">
        <v>205.85</v>
      </c>
      <c r="J151">
        <v>5.26</v>
      </c>
      <c r="K151">
        <v>1.32</v>
      </c>
      <c r="L151">
        <v>0.32</v>
      </c>
      <c r="M151">
        <v>1</v>
      </c>
      <c r="N151">
        <v>0</v>
      </c>
      <c r="O151" t="s">
        <v>20</v>
      </c>
    </row>
    <row r="152" spans="1:15" x14ac:dyDescent="0.35">
      <c r="A152" t="s">
        <v>15</v>
      </c>
      <c r="B152">
        <v>2008</v>
      </c>
      <c r="C152">
        <v>78</v>
      </c>
      <c r="D152" t="s">
        <v>21</v>
      </c>
      <c r="E152" t="s">
        <v>19</v>
      </c>
      <c r="F152">
        <v>7.89</v>
      </c>
      <c r="G152">
        <v>31.01</v>
      </c>
      <c r="H152">
        <v>172.36</v>
      </c>
      <c r="I152">
        <v>136.77000000000001</v>
      </c>
      <c r="J152">
        <v>4.41</v>
      </c>
      <c r="K152">
        <v>11.16</v>
      </c>
      <c r="L152">
        <v>2.73</v>
      </c>
      <c r="M152">
        <v>1</v>
      </c>
      <c r="N152">
        <v>1</v>
      </c>
      <c r="O152" t="s">
        <v>20</v>
      </c>
    </row>
    <row r="153" spans="1:15" x14ac:dyDescent="0.35">
      <c r="A153" t="s">
        <v>15</v>
      </c>
      <c r="B153">
        <v>2008</v>
      </c>
      <c r="C153">
        <v>17</v>
      </c>
      <c r="D153" t="s">
        <v>21</v>
      </c>
      <c r="E153" t="s">
        <v>24</v>
      </c>
      <c r="F153">
        <v>7.22</v>
      </c>
      <c r="G153">
        <v>65.42</v>
      </c>
      <c r="H153">
        <v>145.01</v>
      </c>
      <c r="I153">
        <v>215.57</v>
      </c>
      <c r="J153">
        <v>3.3</v>
      </c>
      <c r="K153">
        <v>11.3</v>
      </c>
      <c r="L153">
        <v>2.76</v>
      </c>
      <c r="M153">
        <v>1</v>
      </c>
      <c r="N153">
        <v>1</v>
      </c>
      <c r="O153" t="s">
        <v>20</v>
      </c>
    </row>
    <row r="154" spans="1:15" x14ac:dyDescent="0.35">
      <c r="A154" t="s">
        <v>15</v>
      </c>
      <c r="B154">
        <v>2008</v>
      </c>
      <c r="C154">
        <v>70</v>
      </c>
      <c r="D154" t="s">
        <v>21</v>
      </c>
      <c r="E154" t="s">
        <v>19</v>
      </c>
      <c r="F154">
        <v>8.08</v>
      </c>
      <c r="G154">
        <v>37.53</v>
      </c>
      <c r="H154">
        <v>109.59</v>
      </c>
      <c r="I154">
        <v>67.44</v>
      </c>
      <c r="J154">
        <v>1.8</v>
      </c>
      <c r="K154">
        <v>12</v>
      </c>
      <c r="L154">
        <v>2.93</v>
      </c>
      <c r="M154">
        <v>1</v>
      </c>
      <c r="N154">
        <v>1</v>
      </c>
      <c r="O154" t="s">
        <v>23</v>
      </c>
    </row>
    <row r="155" spans="1:15" x14ac:dyDescent="0.35">
      <c r="A155" t="s">
        <v>15</v>
      </c>
      <c r="B155">
        <v>2008</v>
      </c>
      <c r="C155">
        <v>56</v>
      </c>
      <c r="D155" t="s">
        <v>21</v>
      </c>
      <c r="E155" t="s">
        <v>17</v>
      </c>
      <c r="F155">
        <v>6.84</v>
      </c>
      <c r="G155">
        <v>52.69</v>
      </c>
      <c r="H155">
        <v>122.84</v>
      </c>
      <c r="I155">
        <v>194.46</v>
      </c>
      <c r="J155">
        <v>3.69</v>
      </c>
      <c r="K155">
        <v>12.07</v>
      </c>
      <c r="L155">
        <v>2.95</v>
      </c>
      <c r="M155">
        <v>1</v>
      </c>
      <c r="N155">
        <v>1</v>
      </c>
      <c r="O155" t="s">
        <v>23</v>
      </c>
    </row>
    <row r="156" spans="1:15" x14ac:dyDescent="0.35">
      <c r="A156" t="s">
        <v>15</v>
      </c>
      <c r="B156">
        <v>2008</v>
      </c>
      <c r="C156">
        <v>8</v>
      </c>
      <c r="D156" t="s">
        <v>16</v>
      </c>
      <c r="E156" t="s">
        <v>22</v>
      </c>
      <c r="F156">
        <v>6.5</v>
      </c>
      <c r="G156">
        <v>64.739999999999995</v>
      </c>
      <c r="H156">
        <v>147.09</v>
      </c>
      <c r="I156">
        <v>164.73</v>
      </c>
      <c r="J156">
        <v>2.54</v>
      </c>
      <c r="K156">
        <v>10.53</v>
      </c>
      <c r="L156">
        <v>2.57</v>
      </c>
      <c r="M156">
        <v>1</v>
      </c>
      <c r="N156">
        <v>1</v>
      </c>
      <c r="O156" t="s">
        <v>18</v>
      </c>
    </row>
    <row r="157" spans="1:15" x14ac:dyDescent="0.35">
      <c r="A157" t="s">
        <v>15</v>
      </c>
      <c r="B157">
        <v>2008</v>
      </c>
      <c r="C157">
        <v>6</v>
      </c>
      <c r="D157" t="s">
        <v>21</v>
      </c>
      <c r="E157" t="s">
        <v>22</v>
      </c>
      <c r="F157">
        <v>4.78</v>
      </c>
      <c r="G157">
        <v>55.5</v>
      </c>
      <c r="H157">
        <v>98.52</v>
      </c>
      <c r="I157">
        <v>177.49</v>
      </c>
      <c r="J157">
        <v>3.2</v>
      </c>
      <c r="K157">
        <v>13.9</v>
      </c>
      <c r="L157">
        <v>3.4</v>
      </c>
      <c r="M157">
        <v>0</v>
      </c>
      <c r="N157">
        <v>1</v>
      </c>
      <c r="O157" t="s">
        <v>23</v>
      </c>
    </row>
    <row r="158" spans="1:15" x14ac:dyDescent="0.35">
      <c r="A158" t="s">
        <v>15</v>
      </c>
      <c r="B158">
        <v>2008</v>
      </c>
      <c r="C158">
        <v>9</v>
      </c>
      <c r="D158" t="s">
        <v>16</v>
      </c>
      <c r="E158" t="s">
        <v>22</v>
      </c>
      <c r="F158">
        <v>8.1199999999999992</v>
      </c>
      <c r="G158">
        <v>59.04</v>
      </c>
      <c r="H158">
        <v>172.64</v>
      </c>
      <c r="I158">
        <v>147.93</v>
      </c>
      <c r="J158">
        <v>2.5099999999999998</v>
      </c>
      <c r="K158">
        <v>8.4499999999999993</v>
      </c>
      <c r="L158">
        <v>2.0699999999999998</v>
      </c>
      <c r="M158">
        <v>1</v>
      </c>
      <c r="N158">
        <v>0</v>
      </c>
      <c r="O158" t="s">
        <v>20</v>
      </c>
    </row>
    <row r="159" spans="1:15" x14ac:dyDescent="0.35">
      <c r="A159" t="s">
        <v>15</v>
      </c>
      <c r="B159">
        <v>2008</v>
      </c>
      <c r="C159">
        <v>37</v>
      </c>
      <c r="D159" t="s">
        <v>16</v>
      </c>
      <c r="E159" t="s">
        <v>17</v>
      </c>
      <c r="F159">
        <v>8.5399999999999991</v>
      </c>
      <c r="G159">
        <v>36.26</v>
      </c>
      <c r="H159">
        <v>116.51</v>
      </c>
      <c r="I159">
        <v>181.29</v>
      </c>
      <c r="J159">
        <v>5</v>
      </c>
      <c r="K159">
        <v>7.92</v>
      </c>
      <c r="L159">
        <v>1.94</v>
      </c>
      <c r="M159">
        <v>1</v>
      </c>
      <c r="N159">
        <v>0</v>
      </c>
      <c r="O159" t="s">
        <v>23</v>
      </c>
    </row>
    <row r="160" spans="1:15" x14ac:dyDescent="0.35">
      <c r="A160" t="s">
        <v>15</v>
      </c>
      <c r="B160">
        <v>2008</v>
      </c>
      <c r="C160">
        <v>21</v>
      </c>
      <c r="D160" t="s">
        <v>16</v>
      </c>
      <c r="E160" t="s">
        <v>17</v>
      </c>
      <c r="F160">
        <v>5.77</v>
      </c>
      <c r="G160">
        <v>43.64</v>
      </c>
      <c r="H160">
        <v>121.68</v>
      </c>
      <c r="I160">
        <v>182.12</v>
      </c>
      <c r="J160">
        <v>4.17</v>
      </c>
      <c r="K160">
        <v>8.15</v>
      </c>
      <c r="L160">
        <v>1.99</v>
      </c>
      <c r="M160">
        <v>0</v>
      </c>
      <c r="N160">
        <v>0</v>
      </c>
      <c r="O160" t="s">
        <v>23</v>
      </c>
    </row>
    <row r="161" spans="1:15" x14ac:dyDescent="0.35">
      <c r="A161" t="s">
        <v>15</v>
      </c>
      <c r="B161">
        <v>2008</v>
      </c>
      <c r="C161">
        <v>29</v>
      </c>
      <c r="D161" t="s">
        <v>16</v>
      </c>
      <c r="E161" t="s">
        <v>17</v>
      </c>
      <c r="F161">
        <v>5.67</v>
      </c>
      <c r="G161">
        <v>42.26</v>
      </c>
      <c r="H161">
        <v>151.32</v>
      </c>
      <c r="I161">
        <v>207.21</v>
      </c>
      <c r="J161">
        <v>4.9000000000000004</v>
      </c>
      <c r="K161">
        <v>4.0599999999999996</v>
      </c>
      <c r="L161">
        <v>0.99</v>
      </c>
      <c r="M161">
        <v>0</v>
      </c>
      <c r="N161">
        <v>0</v>
      </c>
      <c r="O161" t="s">
        <v>20</v>
      </c>
    </row>
    <row r="162" spans="1:15" x14ac:dyDescent="0.35">
      <c r="A162" t="s">
        <v>15</v>
      </c>
      <c r="B162">
        <v>2008</v>
      </c>
      <c r="C162">
        <v>2</v>
      </c>
      <c r="D162" t="s">
        <v>16</v>
      </c>
      <c r="E162" t="s">
        <v>22</v>
      </c>
      <c r="F162">
        <v>6.73</v>
      </c>
      <c r="G162">
        <v>47.58</v>
      </c>
      <c r="H162">
        <v>96.54</v>
      </c>
      <c r="I162">
        <v>221.44</v>
      </c>
      <c r="J162">
        <v>4.6500000000000004</v>
      </c>
      <c r="K162">
        <v>5.9</v>
      </c>
      <c r="L162">
        <v>1.44</v>
      </c>
      <c r="M162">
        <v>1</v>
      </c>
      <c r="N162">
        <v>0</v>
      </c>
      <c r="O162" t="s">
        <v>20</v>
      </c>
    </row>
    <row r="163" spans="1:15" x14ac:dyDescent="0.35">
      <c r="A163" t="s">
        <v>15</v>
      </c>
      <c r="B163">
        <v>2008</v>
      </c>
      <c r="C163">
        <v>4</v>
      </c>
      <c r="D163" t="s">
        <v>16</v>
      </c>
      <c r="E163" t="s">
        <v>22</v>
      </c>
      <c r="F163">
        <v>6.79</v>
      </c>
      <c r="G163">
        <v>55.85</v>
      </c>
      <c r="H163">
        <v>148.72999999999999</v>
      </c>
      <c r="I163">
        <v>215.1</v>
      </c>
      <c r="J163">
        <v>3.85</v>
      </c>
      <c r="K163">
        <v>9.51</v>
      </c>
      <c r="L163">
        <v>2.3199999999999998</v>
      </c>
      <c r="M163">
        <v>1</v>
      </c>
      <c r="N163">
        <v>0</v>
      </c>
      <c r="O163" t="s">
        <v>20</v>
      </c>
    </row>
    <row r="164" spans="1:15" x14ac:dyDescent="0.35">
      <c r="A164" t="s">
        <v>15</v>
      </c>
      <c r="B164">
        <v>2008</v>
      </c>
      <c r="C164">
        <v>19</v>
      </c>
      <c r="D164" t="s">
        <v>16</v>
      </c>
      <c r="E164" t="s">
        <v>24</v>
      </c>
      <c r="F164">
        <v>5.51</v>
      </c>
      <c r="G164">
        <v>44.63</v>
      </c>
      <c r="H164">
        <v>164.81</v>
      </c>
      <c r="I164">
        <v>146.66999999999999</v>
      </c>
      <c r="J164">
        <v>3.29</v>
      </c>
      <c r="K164">
        <v>7.96</v>
      </c>
      <c r="L164">
        <v>1.95</v>
      </c>
      <c r="M164">
        <v>0</v>
      </c>
      <c r="N164">
        <v>0</v>
      </c>
      <c r="O164" t="s">
        <v>20</v>
      </c>
    </row>
    <row r="165" spans="1:15" x14ac:dyDescent="0.35">
      <c r="A165" t="s">
        <v>15</v>
      </c>
      <c r="B165">
        <v>2008</v>
      </c>
      <c r="C165">
        <v>21</v>
      </c>
      <c r="D165" t="s">
        <v>16</v>
      </c>
      <c r="E165" t="s">
        <v>17</v>
      </c>
      <c r="F165">
        <v>6.37</v>
      </c>
      <c r="G165">
        <v>53.12</v>
      </c>
      <c r="H165">
        <v>128.94</v>
      </c>
      <c r="I165">
        <v>160.6</v>
      </c>
      <c r="J165">
        <v>3.02</v>
      </c>
      <c r="K165">
        <v>8.14</v>
      </c>
      <c r="L165">
        <v>1.99</v>
      </c>
      <c r="M165">
        <v>0</v>
      </c>
      <c r="N165">
        <v>0</v>
      </c>
      <c r="O165" t="s">
        <v>23</v>
      </c>
    </row>
    <row r="166" spans="1:15" x14ac:dyDescent="0.35">
      <c r="A166" t="s">
        <v>15</v>
      </c>
      <c r="B166">
        <v>2008</v>
      </c>
      <c r="C166">
        <v>44</v>
      </c>
      <c r="D166" t="s">
        <v>16</v>
      </c>
      <c r="E166" t="s">
        <v>17</v>
      </c>
      <c r="F166">
        <v>9.17</v>
      </c>
      <c r="G166">
        <v>56.2</v>
      </c>
      <c r="H166">
        <v>129.41</v>
      </c>
      <c r="I166">
        <v>188.67</v>
      </c>
      <c r="J166">
        <v>3.36</v>
      </c>
      <c r="K166">
        <v>3.93</v>
      </c>
      <c r="L166">
        <v>0.96</v>
      </c>
      <c r="M166">
        <v>1</v>
      </c>
      <c r="N166">
        <v>0</v>
      </c>
      <c r="O166" t="s">
        <v>23</v>
      </c>
    </row>
    <row r="167" spans="1:15" x14ac:dyDescent="0.35">
      <c r="A167" t="s">
        <v>15</v>
      </c>
      <c r="B167">
        <v>2008</v>
      </c>
      <c r="C167">
        <v>68</v>
      </c>
      <c r="D167" t="s">
        <v>21</v>
      </c>
      <c r="E167" t="s">
        <v>19</v>
      </c>
      <c r="F167">
        <v>6.9</v>
      </c>
      <c r="G167">
        <v>45.9</v>
      </c>
      <c r="H167">
        <v>172.26</v>
      </c>
      <c r="I167">
        <v>147.35</v>
      </c>
      <c r="J167">
        <v>3.21</v>
      </c>
      <c r="K167">
        <v>14.75</v>
      </c>
      <c r="L167">
        <v>3.61</v>
      </c>
      <c r="M167">
        <v>1</v>
      </c>
      <c r="N167">
        <v>1</v>
      </c>
      <c r="O167" t="s">
        <v>20</v>
      </c>
    </row>
    <row r="168" spans="1:15" x14ac:dyDescent="0.35">
      <c r="A168" t="s">
        <v>15</v>
      </c>
      <c r="B168">
        <v>2008</v>
      </c>
      <c r="C168">
        <v>66</v>
      </c>
      <c r="D168" t="s">
        <v>16</v>
      </c>
      <c r="E168" t="s">
        <v>19</v>
      </c>
      <c r="F168">
        <v>6.14</v>
      </c>
      <c r="G168">
        <v>61.37</v>
      </c>
      <c r="H168">
        <v>168.31</v>
      </c>
      <c r="I168">
        <v>193.89</v>
      </c>
      <c r="J168">
        <v>3.16</v>
      </c>
      <c r="K168">
        <v>5.63</v>
      </c>
      <c r="L168">
        <v>1.38</v>
      </c>
      <c r="M168">
        <v>0</v>
      </c>
      <c r="N168">
        <v>0</v>
      </c>
      <c r="O168" t="s">
        <v>20</v>
      </c>
    </row>
    <row r="169" spans="1:15" x14ac:dyDescent="0.35">
      <c r="A169" t="s">
        <v>15</v>
      </c>
      <c r="B169">
        <v>2008</v>
      </c>
      <c r="C169">
        <v>36</v>
      </c>
      <c r="D169" t="s">
        <v>16</v>
      </c>
      <c r="E169" t="s">
        <v>17</v>
      </c>
      <c r="F169">
        <v>6.32</v>
      </c>
      <c r="G169">
        <v>45.82</v>
      </c>
      <c r="H169">
        <v>175.26</v>
      </c>
      <c r="I169">
        <v>195.88</v>
      </c>
      <c r="J169">
        <v>4.2699999999999996</v>
      </c>
      <c r="K169">
        <v>2.96</v>
      </c>
      <c r="L169">
        <v>0.72</v>
      </c>
      <c r="M169">
        <v>0</v>
      </c>
      <c r="N169">
        <v>0</v>
      </c>
      <c r="O169" t="s">
        <v>20</v>
      </c>
    </row>
    <row r="170" spans="1:15" x14ac:dyDescent="0.35">
      <c r="A170" t="s">
        <v>15</v>
      </c>
      <c r="B170">
        <v>2008</v>
      </c>
      <c r="C170">
        <v>32</v>
      </c>
      <c r="D170" t="s">
        <v>16</v>
      </c>
      <c r="E170" t="s">
        <v>17</v>
      </c>
      <c r="F170">
        <v>7.53</v>
      </c>
      <c r="G170">
        <v>39.35</v>
      </c>
      <c r="H170">
        <v>140.32</v>
      </c>
      <c r="I170">
        <v>283.19</v>
      </c>
      <c r="J170">
        <v>7.2</v>
      </c>
      <c r="K170">
        <v>3.51</v>
      </c>
      <c r="L170">
        <v>0.86</v>
      </c>
      <c r="M170">
        <v>1</v>
      </c>
      <c r="N170">
        <v>0</v>
      </c>
      <c r="O170" t="s">
        <v>20</v>
      </c>
    </row>
    <row r="171" spans="1:15" x14ac:dyDescent="0.35">
      <c r="A171" t="s">
        <v>15</v>
      </c>
      <c r="B171">
        <v>2008</v>
      </c>
      <c r="C171">
        <v>50</v>
      </c>
      <c r="D171" t="s">
        <v>16</v>
      </c>
      <c r="E171" t="s">
        <v>17</v>
      </c>
      <c r="F171">
        <v>8.57</v>
      </c>
      <c r="G171">
        <v>42.54</v>
      </c>
      <c r="H171">
        <v>132.13</v>
      </c>
      <c r="I171">
        <v>96.14</v>
      </c>
      <c r="J171">
        <v>2.2599999999999998</v>
      </c>
      <c r="K171">
        <v>5.09</v>
      </c>
      <c r="L171">
        <v>1.24</v>
      </c>
      <c r="M171">
        <v>1</v>
      </c>
      <c r="N171">
        <v>0</v>
      </c>
      <c r="O171" t="s">
        <v>18</v>
      </c>
    </row>
    <row r="172" spans="1:15" x14ac:dyDescent="0.35">
      <c r="A172" t="s">
        <v>15</v>
      </c>
      <c r="B172">
        <v>2008</v>
      </c>
      <c r="C172">
        <v>12</v>
      </c>
      <c r="D172" t="s">
        <v>16</v>
      </c>
      <c r="E172" t="s">
        <v>22</v>
      </c>
      <c r="F172">
        <v>6.66</v>
      </c>
      <c r="G172">
        <v>49.84</v>
      </c>
      <c r="H172">
        <v>135.74</v>
      </c>
      <c r="I172">
        <v>109.78</v>
      </c>
      <c r="J172">
        <v>2.2000000000000002</v>
      </c>
      <c r="K172">
        <v>5.96</v>
      </c>
      <c r="L172">
        <v>1.46</v>
      </c>
      <c r="M172">
        <v>1</v>
      </c>
      <c r="N172">
        <v>0</v>
      </c>
      <c r="O172" t="s">
        <v>18</v>
      </c>
    </row>
    <row r="173" spans="1:15" x14ac:dyDescent="0.35">
      <c r="A173" t="s">
        <v>15</v>
      </c>
      <c r="B173">
        <v>2008</v>
      </c>
      <c r="C173">
        <v>47</v>
      </c>
      <c r="D173" t="s">
        <v>16</v>
      </c>
      <c r="E173" t="s">
        <v>17</v>
      </c>
      <c r="F173">
        <v>6.18</v>
      </c>
      <c r="G173">
        <v>47.88</v>
      </c>
      <c r="H173">
        <v>160.57</v>
      </c>
      <c r="I173">
        <v>91.8</v>
      </c>
      <c r="J173">
        <v>1.92</v>
      </c>
      <c r="K173">
        <v>1.66</v>
      </c>
      <c r="L173">
        <v>0.41</v>
      </c>
      <c r="M173">
        <v>0</v>
      </c>
      <c r="N173">
        <v>0</v>
      </c>
      <c r="O173" t="s">
        <v>20</v>
      </c>
    </row>
    <row r="174" spans="1:15" x14ac:dyDescent="0.35">
      <c r="A174" t="s">
        <v>15</v>
      </c>
      <c r="B174">
        <v>2008</v>
      </c>
      <c r="C174">
        <v>35</v>
      </c>
      <c r="D174" t="s">
        <v>16</v>
      </c>
      <c r="E174" t="s">
        <v>17</v>
      </c>
      <c r="F174">
        <v>6.6</v>
      </c>
      <c r="G174">
        <v>28.65</v>
      </c>
      <c r="H174">
        <v>133.63</v>
      </c>
      <c r="I174">
        <v>138.55000000000001</v>
      </c>
      <c r="J174">
        <v>4.84</v>
      </c>
      <c r="K174">
        <v>10.68</v>
      </c>
      <c r="L174">
        <v>2.61</v>
      </c>
      <c r="M174">
        <v>1</v>
      </c>
      <c r="N174">
        <v>1</v>
      </c>
      <c r="O174" t="s">
        <v>18</v>
      </c>
    </row>
    <row r="175" spans="1:15" x14ac:dyDescent="0.35">
      <c r="A175" t="s">
        <v>15</v>
      </c>
      <c r="B175">
        <v>2008</v>
      </c>
      <c r="C175">
        <v>33</v>
      </c>
      <c r="D175" t="s">
        <v>16</v>
      </c>
      <c r="E175" t="s">
        <v>17</v>
      </c>
      <c r="F175">
        <v>9.01</v>
      </c>
      <c r="G175">
        <v>31.98</v>
      </c>
      <c r="H175">
        <v>134.29</v>
      </c>
      <c r="I175">
        <v>135.69</v>
      </c>
      <c r="J175">
        <v>4.24</v>
      </c>
      <c r="K175">
        <v>10.69</v>
      </c>
      <c r="L175">
        <v>2.61</v>
      </c>
      <c r="M175">
        <v>1</v>
      </c>
      <c r="N175">
        <v>1</v>
      </c>
      <c r="O175" t="s">
        <v>18</v>
      </c>
    </row>
    <row r="176" spans="1:15" x14ac:dyDescent="0.35">
      <c r="A176" t="s">
        <v>15</v>
      </c>
      <c r="B176">
        <v>2008</v>
      </c>
      <c r="C176">
        <v>15</v>
      </c>
      <c r="D176" t="s">
        <v>21</v>
      </c>
      <c r="E176" t="s">
        <v>24</v>
      </c>
      <c r="F176">
        <v>8.2899999999999991</v>
      </c>
      <c r="G176">
        <v>51.58</v>
      </c>
      <c r="H176">
        <v>151.94999999999999</v>
      </c>
      <c r="I176">
        <v>195.22</v>
      </c>
      <c r="J176">
        <v>3.79</v>
      </c>
      <c r="K176">
        <v>10.96</v>
      </c>
      <c r="L176">
        <v>2.68</v>
      </c>
      <c r="M176">
        <v>1</v>
      </c>
      <c r="N176">
        <v>1</v>
      </c>
      <c r="O176" t="s">
        <v>18</v>
      </c>
    </row>
    <row r="177" spans="1:15" x14ac:dyDescent="0.35">
      <c r="A177" t="s">
        <v>15</v>
      </c>
      <c r="B177">
        <v>2008</v>
      </c>
      <c r="C177">
        <v>43</v>
      </c>
      <c r="D177" t="s">
        <v>21</v>
      </c>
      <c r="E177" t="s">
        <v>17</v>
      </c>
      <c r="F177">
        <v>6.28</v>
      </c>
      <c r="G177">
        <v>51.09</v>
      </c>
      <c r="H177">
        <v>151.19</v>
      </c>
      <c r="I177">
        <v>239.13</v>
      </c>
      <c r="J177">
        <v>4.68</v>
      </c>
      <c r="K177">
        <v>10.78</v>
      </c>
      <c r="L177">
        <v>2.64</v>
      </c>
      <c r="M177">
        <v>0</v>
      </c>
      <c r="N177">
        <v>1</v>
      </c>
      <c r="O177" t="s">
        <v>20</v>
      </c>
    </row>
    <row r="178" spans="1:15" x14ac:dyDescent="0.35">
      <c r="A178" t="s">
        <v>15</v>
      </c>
      <c r="B178">
        <v>2008</v>
      </c>
      <c r="C178">
        <v>8</v>
      </c>
      <c r="D178" t="s">
        <v>21</v>
      </c>
      <c r="E178" t="s">
        <v>22</v>
      </c>
      <c r="F178">
        <v>6.65</v>
      </c>
      <c r="G178">
        <v>28.57</v>
      </c>
      <c r="H178">
        <v>129.49</v>
      </c>
      <c r="I178">
        <v>205.58</v>
      </c>
      <c r="J178">
        <v>7.19</v>
      </c>
      <c r="K178">
        <v>10.74</v>
      </c>
      <c r="L178">
        <v>2.63</v>
      </c>
      <c r="M178">
        <v>1</v>
      </c>
      <c r="N178">
        <v>1</v>
      </c>
      <c r="O178" t="s">
        <v>20</v>
      </c>
    </row>
    <row r="179" spans="1:15" x14ac:dyDescent="0.35">
      <c r="A179" t="s">
        <v>15</v>
      </c>
      <c r="B179">
        <v>2008</v>
      </c>
      <c r="C179">
        <v>70</v>
      </c>
      <c r="D179" t="s">
        <v>16</v>
      </c>
      <c r="E179" t="s">
        <v>19</v>
      </c>
      <c r="F179">
        <v>6.06</v>
      </c>
      <c r="G179">
        <v>41.9</v>
      </c>
      <c r="H179">
        <v>166.32</v>
      </c>
      <c r="I179">
        <v>153.66999999999999</v>
      </c>
      <c r="J179">
        <v>3.67</v>
      </c>
      <c r="K179">
        <v>11</v>
      </c>
      <c r="L179">
        <v>2.69</v>
      </c>
      <c r="M179">
        <v>0</v>
      </c>
      <c r="N179">
        <v>1</v>
      </c>
      <c r="O179" t="s">
        <v>20</v>
      </c>
    </row>
    <row r="180" spans="1:15" x14ac:dyDescent="0.35">
      <c r="A180" t="s">
        <v>15</v>
      </c>
      <c r="B180">
        <v>2008</v>
      </c>
      <c r="C180">
        <v>17</v>
      </c>
      <c r="D180" t="s">
        <v>21</v>
      </c>
      <c r="E180" t="s">
        <v>24</v>
      </c>
      <c r="F180">
        <v>6.27</v>
      </c>
      <c r="G180">
        <v>53.43</v>
      </c>
      <c r="H180">
        <v>152.13</v>
      </c>
      <c r="I180">
        <v>103.73</v>
      </c>
      <c r="J180">
        <v>1.94</v>
      </c>
      <c r="K180">
        <v>9.8800000000000008</v>
      </c>
      <c r="L180">
        <v>2.42</v>
      </c>
      <c r="M180">
        <v>0</v>
      </c>
      <c r="N180">
        <v>0</v>
      </c>
      <c r="O180" t="s">
        <v>18</v>
      </c>
    </row>
    <row r="181" spans="1:15" x14ac:dyDescent="0.35">
      <c r="A181" t="s">
        <v>15</v>
      </c>
      <c r="B181">
        <v>2008</v>
      </c>
      <c r="C181">
        <v>66</v>
      </c>
      <c r="D181" t="s">
        <v>21</v>
      </c>
      <c r="E181" t="s">
        <v>19</v>
      </c>
      <c r="F181">
        <v>8.59</v>
      </c>
      <c r="G181">
        <v>31.04</v>
      </c>
      <c r="H181">
        <v>145.26</v>
      </c>
      <c r="I181">
        <v>173.55</v>
      </c>
      <c r="J181">
        <v>5.59</v>
      </c>
      <c r="K181">
        <v>9.5399999999999991</v>
      </c>
      <c r="L181">
        <v>2.33</v>
      </c>
      <c r="M181">
        <v>1</v>
      </c>
      <c r="N181">
        <v>0</v>
      </c>
      <c r="O181" t="s">
        <v>18</v>
      </c>
    </row>
    <row r="182" spans="1:15" x14ac:dyDescent="0.35">
      <c r="A182" t="s">
        <v>15</v>
      </c>
      <c r="B182">
        <v>2008</v>
      </c>
      <c r="C182">
        <v>41</v>
      </c>
      <c r="D182" t="s">
        <v>21</v>
      </c>
      <c r="E182" t="s">
        <v>17</v>
      </c>
      <c r="F182">
        <v>7.68</v>
      </c>
      <c r="G182">
        <v>43.96</v>
      </c>
      <c r="H182">
        <v>167.31</v>
      </c>
      <c r="I182">
        <v>150.80000000000001</v>
      </c>
      <c r="J182">
        <v>3.43</v>
      </c>
      <c r="K182">
        <v>9.19</v>
      </c>
      <c r="L182">
        <v>2.25</v>
      </c>
      <c r="M182">
        <v>1</v>
      </c>
      <c r="N182">
        <v>0</v>
      </c>
      <c r="O182" t="s">
        <v>20</v>
      </c>
    </row>
    <row r="183" spans="1:15" x14ac:dyDescent="0.35">
      <c r="A183" t="s">
        <v>15</v>
      </c>
      <c r="B183">
        <v>2008</v>
      </c>
      <c r="C183">
        <v>82</v>
      </c>
      <c r="D183" t="s">
        <v>21</v>
      </c>
      <c r="E183" t="s">
        <v>19</v>
      </c>
      <c r="F183">
        <v>7.55</v>
      </c>
      <c r="G183">
        <v>70.180000000000007</v>
      </c>
      <c r="H183">
        <v>137.28</v>
      </c>
      <c r="I183">
        <v>193.93</v>
      </c>
      <c r="J183">
        <v>2.76</v>
      </c>
      <c r="K183">
        <v>9.11</v>
      </c>
      <c r="L183">
        <v>2.23</v>
      </c>
      <c r="M183">
        <v>1</v>
      </c>
      <c r="N183">
        <v>0</v>
      </c>
      <c r="O183" t="s">
        <v>18</v>
      </c>
    </row>
    <row r="184" spans="1:15" x14ac:dyDescent="0.35">
      <c r="A184" t="s">
        <v>15</v>
      </c>
      <c r="B184">
        <v>2008</v>
      </c>
      <c r="C184">
        <v>28</v>
      </c>
      <c r="D184" t="s">
        <v>16</v>
      </c>
      <c r="E184" t="s">
        <v>17</v>
      </c>
      <c r="F184">
        <v>6.49</v>
      </c>
      <c r="G184">
        <v>58.62</v>
      </c>
      <c r="H184">
        <v>174.92</v>
      </c>
      <c r="I184">
        <v>178.3</v>
      </c>
      <c r="J184">
        <v>3.04</v>
      </c>
      <c r="K184">
        <v>11.31</v>
      </c>
      <c r="L184">
        <v>2.76</v>
      </c>
      <c r="M184">
        <v>0</v>
      </c>
      <c r="N184">
        <v>1</v>
      </c>
      <c r="O184" t="s">
        <v>20</v>
      </c>
    </row>
    <row r="185" spans="1:15" x14ac:dyDescent="0.35">
      <c r="A185" t="s">
        <v>15</v>
      </c>
      <c r="B185">
        <v>2008</v>
      </c>
      <c r="C185">
        <v>78</v>
      </c>
      <c r="D185" t="s">
        <v>21</v>
      </c>
      <c r="E185" t="s">
        <v>19</v>
      </c>
      <c r="F185">
        <v>8.1300000000000008</v>
      </c>
      <c r="G185">
        <v>36.630000000000003</v>
      </c>
      <c r="H185">
        <v>144.32</v>
      </c>
      <c r="I185">
        <v>151.33000000000001</v>
      </c>
      <c r="J185">
        <v>4.13</v>
      </c>
      <c r="K185">
        <v>8.48</v>
      </c>
      <c r="L185">
        <v>2.0699999999999998</v>
      </c>
      <c r="M185">
        <v>1</v>
      </c>
      <c r="N185">
        <v>0</v>
      </c>
      <c r="O185" t="s">
        <v>18</v>
      </c>
    </row>
    <row r="186" spans="1:15" x14ac:dyDescent="0.35">
      <c r="A186" t="s">
        <v>15</v>
      </c>
      <c r="B186">
        <v>2008</v>
      </c>
      <c r="C186">
        <v>58</v>
      </c>
      <c r="D186" t="s">
        <v>21</v>
      </c>
      <c r="E186" t="s">
        <v>17</v>
      </c>
      <c r="F186">
        <v>6.8</v>
      </c>
      <c r="G186">
        <v>37.14</v>
      </c>
      <c r="H186">
        <v>139.09</v>
      </c>
      <c r="I186">
        <v>144.96</v>
      </c>
      <c r="J186">
        <v>3.9</v>
      </c>
      <c r="K186">
        <v>7.79</v>
      </c>
      <c r="L186">
        <v>1.9</v>
      </c>
      <c r="M186">
        <v>1</v>
      </c>
      <c r="N186">
        <v>0</v>
      </c>
      <c r="O186" t="s">
        <v>18</v>
      </c>
    </row>
    <row r="187" spans="1:15" x14ac:dyDescent="0.35">
      <c r="A187" t="s">
        <v>15</v>
      </c>
      <c r="B187">
        <v>2008</v>
      </c>
      <c r="C187">
        <v>53</v>
      </c>
      <c r="D187" t="s">
        <v>21</v>
      </c>
      <c r="E187" t="s">
        <v>17</v>
      </c>
      <c r="F187">
        <v>7.41</v>
      </c>
      <c r="G187">
        <v>54.94</v>
      </c>
      <c r="H187">
        <v>140.56</v>
      </c>
      <c r="I187">
        <v>104.86</v>
      </c>
      <c r="J187">
        <v>1.91</v>
      </c>
      <c r="K187">
        <v>7.76</v>
      </c>
      <c r="L187">
        <v>1.9</v>
      </c>
      <c r="M187">
        <v>1</v>
      </c>
      <c r="N187">
        <v>0</v>
      </c>
      <c r="O187" t="s">
        <v>18</v>
      </c>
    </row>
    <row r="188" spans="1:15" x14ac:dyDescent="0.35">
      <c r="A188" t="s">
        <v>15</v>
      </c>
      <c r="B188">
        <v>2008</v>
      </c>
      <c r="C188">
        <v>18</v>
      </c>
      <c r="D188" t="s">
        <v>21</v>
      </c>
      <c r="E188" t="s">
        <v>24</v>
      </c>
      <c r="F188">
        <v>6.26</v>
      </c>
      <c r="G188">
        <v>41.32</v>
      </c>
      <c r="H188">
        <v>163.22999999999999</v>
      </c>
      <c r="I188">
        <v>252.31</v>
      </c>
      <c r="J188">
        <v>6.11</v>
      </c>
      <c r="K188">
        <v>7.59</v>
      </c>
      <c r="L188">
        <v>1.86</v>
      </c>
      <c r="M188">
        <v>0</v>
      </c>
      <c r="N188">
        <v>0</v>
      </c>
      <c r="O188" t="s">
        <v>20</v>
      </c>
    </row>
    <row r="189" spans="1:15" x14ac:dyDescent="0.35">
      <c r="A189" t="s">
        <v>15</v>
      </c>
      <c r="B189">
        <v>2008</v>
      </c>
      <c r="C189">
        <v>10</v>
      </c>
      <c r="D189" t="s">
        <v>21</v>
      </c>
      <c r="E189" t="s">
        <v>22</v>
      </c>
      <c r="F189">
        <v>6.72</v>
      </c>
      <c r="G189">
        <v>65.66</v>
      </c>
      <c r="H189">
        <v>119.05</v>
      </c>
      <c r="I189">
        <v>111</v>
      </c>
      <c r="J189">
        <v>1.69</v>
      </c>
      <c r="K189">
        <v>7.25</v>
      </c>
      <c r="L189">
        <v>1.77</v>
      </c>
      <c r="M189">
        <v>1</v>
      </c>
      <c r="N189">
        <v>0</v>
      </c>
      <c r="O189" t="s">
        <v>23</v>
      </c>
    </row>
    <row r="190" spans="1:15" x14ac:dyDescent="0.35">
      <c r="A190" t="s">
        <v>15</v>
      </c>
      <c r="B190">
        <v>2008</v>
      </c>
      <c r="C190">
        <v>7</v>
      </c>
      <c r="D190" t="s">
        <v>21</v>
      </c>
      <c r="E190" t="s">
        <v>22</v>
      </c>
      <c r="F190">
        <v>6.17</v>
      </c>
      <c r="G190">
        <v>60.07</v>
      </c>
      <c r="H190">
        <v>103.34</v>
      </c>
      <c r="I190">
        <v>191.97</v>
      </c>
      <c r="J190">
        <v>3.2</v>
      </c>
      <c r="K190">
        <v>6.99</v>
      </c>
      <c r="L190">
        <v>1.71</v>
      </c>
      <c r="M190">
        <v>0</v>
      </c>
      <c r="N190">
        <v>0</v>
      </c>
      <c r="O190" t="s">
        <v>23</v>
      </c>
    </row>
    <row r="191" spans="1:15" x14ac:dyDescent="0.35">
      <c r="A191" t="s">
        <v>15</v>
      </c>
      <c r="B191">
        <v>2008</v>
      </c>
      <c r="C191">
        <v>77</v>
      </c>
      <c r="D191" t="s">
        <v>16</v>
      </c>
      <c r="E191" t="s">
        <v>19</v>
      </c>
      <c r="F191">
        <v>7.25</v>
      </c>
      <c r="G191">
        <v>33.97</v>
      </c>
      <c r="H191">
        <v>145.43</v>
      </c>
      <c r="I191">
        <v>143.27000000000001</v>
      </c>
      <c r="J191">
        <v>4.22</v>
      </c>
      <c r="K191">
        <v>13.17</v>
      </c>
      <c r="L191">
        <v>3.22</v>
      </c>
      <c r="M191">
        <v>1</v>
      </c>
      <c r="N191">
        <v>1</v>
      </c>
      <c r="O191" t="s">
        <v>18</v>
      </c>
    </row>
    <row r="192" spans="1:15" x14ac:dyDescent="0.35">
      <c r="A192" t="s">
        <v>15</v>
      </c>
      <c r="B192">
        <v>2008</v>
      </c>
      <c r="C192">
        <v>61</v>
      </c>
      <c r="D192" t="s">
        <v>21</v>
      </c>
      <c r="E192" t="s">
        <v>19</v>
      </c>
      <c r="F192">
        <v>8.4700000000000006</v>
      </c>
      <c r="G192">
        <v>36.54</v>
      </c>
      <c r="H192">
        <v>162.28</v>
      </c>
      <c r="I192">
        <v>163.92</v>
      </c>
      <c r="J192">
        <v>4.49</v>
      </c>
      <c r="K192">
        <v>5.37</v>
      </c>
      <c r="L192">
        <v>1.31</v>
      </c>
      <c r="M192">
        <v>1</v>
      </c>
      <c r="N192">
        <v>0</v>
      </c>
      <c r="O192" t="s">
        <v>20</v>
      </c>
    </row>
    <row r="193" spans="1:15" x14ac:dyDescent="0.35">
      <c r="A193" t="s">
        <v>15</v>
      </c>
      <c r="B193">
        <v>2008</v>
      </c>
      <c r="C193">
        <v>11</v>
      </c>
      <c r="D193" t="s">
        <v>21</v>
      </c>
      <c r="E193" t="s">
        <v>22</v>
      </c>
      <c r="F193">
        <v>7.7</v>
      </c>
      <c r="G193">
        <v>52.36</v>
      </c>
      <c r="H193">
        <v>150.6</v>
      </c>
      <c r="I193">
        <v>79.83</v>
      </c>
      <c r="J193">
        <v>1.52</v>
      </c>
      <c r="K193">
        <v>4.6100000000000003</v>
      </c>
      <c r="L193">
        <v>1.1299999999999999</v>
      </c>
      <c r="M193">
        <v>1</v>
      </c>
      <c r="N193">
        <v>0</v>
      </c>
      <c r="O193" t="s">
        <v>18</v>
      </c>
    </row>
    <row r="194" spans="1:15" x14ac:dyDescent="0.35">
      <c r="A194" t="s">
        <v>15</v>
      </c>
      <c r="B194">
        <v>2008</v>
      </c>
      <c r="C194">
        <v>76</v>
      </c>
      <c r="D194" t="s">
        <v>16</v>
      </c>
      <c r="E194" t="s">
        <v>19</v>
      </c>
      <c r="F194">
        <v>9.4499999999999993</v>
      </c>
      <c r="G194">
        <v>53.79</v>
      </c>
      <c r="H194">
        <v>205.98</v>
      </c>
      <c r="I194">
        <v>210.22</v>
      </c>
      <c r="J194">
        <v>3.91</v>
      </c>
      <c r="K194">
        <v>14.13</v>
      </c>
      <c r="L194">
        <v>3.45</v>
      </c>
      <c r="M194">
        <v>1</v>
      </c>
      <c r="N194">
        <v>1</v>
      </c>
      <c r="O194" t="s">
        <v>20</v>
      </c>
    </row>
    <row r="195" spans="1:15" x14ac:dyDescent="0.35">
      <c r="A195" t="s">
        <v>15</v>
      </c>
      <c r="B195">
        <v>2008</v>
      </c>
      <c r="C195">
        <v>26</v>
      </c>
      <c r="D195" t="s">
        <v>21</v>
      </c>
      <c r="E195" t="s">
        <v>17</v>
      </c>
      <c r="F195">
        <v>6.43</v>
      </c>
      <c r="G195">
        <v>42.18</v>
      </c>
      <c r="H195">
        <v>105.92</v>
      </c>
      <c r="I195">
        <v>148.88</v>
      </c>
      <c r="J195">
        <v>3.53</v>
      </c>
      <c r="K195">
        <v>4.37</v>
      </c>
      <c r="L195">
        <v>1.07</v>
      </c>
      <c r="M195">
        <v>0</v>
      </c>
      <c r="N195">
        <v>0</v>
      </c>
      <c r="O195" t="s">
        <v>23</v>
      </c>
    </row>
    <row r="196" spans="1:15" x14ac:dyDescent="0.35">
      <c r="A196" t="s">
        <v>15</v>
      </c>
      <c r="B196">
        <v>2008</v>
      </c>
      <c r="C196">
        <v>74</v>
      </c>
      <c r="D196" t="s">
        <v>16</v>
      </c>
      <c r="E196" t="s">
        <v>19</v>
      </c>
      <c r="F196">
        <v>5.14</v>
      </c>
      <c r="G196">
        <v>58.95</v>
      </c>
      <c r="H196">
        <v>154.71</v>
      </c>
      <c r="I196">
        <v>181.67</v>
      </c>
      <c r="J196">
        <v>3.08</v>
      </c>
      <c r="K196">
        <v>14.88</v>
      </c>
      <c r="L196">
        <v>3.64</v>
      </c>
      <c r="M196">
        <v>0</v>
      </c>
      <c r="N196">
        <v>1</v>
      </c>
      <c r="O196" t="s">
        <v>18</v>
      </c>
    </row>
    <row r="197" spans="1:15" x14ac:dyDescent="0.35">
      <c r="A197" t="s">
        <v>15</v>
      </c>
      <c r="B197">
        <v>2008</v>
      </c>
      <c r="C197">
        <v>5</v>
      </c>
      <c r="D197" t="s">
        <v>21</v>
      </c>
      <c r="E197" t="s">
        <v>22</v>
      </c>
      <c r="F197">
        <v>5.25</v>
      </c>
      <c r="G197">
        <v>57.11</v>
      </c>
      <c r="H197">
        <v>122.23</v>
      </c>
      <c r="I197">
        <v>164.92</v>
      </c>
      <c r="J197">
        <v>2.89</v>
      </c>
      <c r="K197">
        <v>3.52</v>
      </c>
      <c r="L197">
        <v>0.86</v>
      </c>
      <c r="M197">
        <v>0</v>
      </c>
      <c r="N197">
        <v>0</v>
      </c>
      <c r="O197" t="s">
        <v>23</v>
      </c>
    </row>
    <row r="198" spans="1:15" x14ac:dyDescent="0.35">
      <c r="A198" t="s">
        <v>15</v>
      </c>
      <c r="B198">
        <v>2008</v>
      </c>
      <c r="C198">
        <v>54</v>
      </c>
      <c r="D198" t="s">
        <v>21</v>
      </c>
      <c r="E198" t="s">
        <v>17</v>
      </c>
      <c r="F198">
        <v>7.11</v>
      </c>
      <c r="G198">
        <v>40.049999999999997</v>
      </c>
      <c r="H198">
        <v>168.91</v>
      </c>
      <c r="I198">
        <v>193.3</v>
      </c>
      <c r="J198">
        <v>4.83</v>
      </c>
      <c r="K198">
        <v>3.31</v>
      </c>
      <c r="L198">
        <v>0.81</v>
      </c>
      <c r="M198">
        <v>1</v>
      </c>
      <c r="N198">
        <v>0</v>
      </c>
      <c r="O198" t="s">
        <v>20</v>
      </c>
    </row>
    <row r="199" spans="1:15" x14ac:dyDescent="0.35">
      <c r="A199" t="s">
        <v>15</v>
      </c>
      <c r="B199">
        <v>2008</v>
      </c>
      <c r="C199">
        <v>80</v>
      </c>
      <c r="D199" t="s">
        <v>21</v>
      </c>
      <c r="E199" t="s">
        <v>19</v>
      </c>
      <c r="F199">
        <v>7.02</v>
      </c>
      <c r="G199">
        <v>46.13</v>
      </c>
      <c r="H199">
        <v>115.82</v>
      </c>
      <c r="I199">
        <v>122.15</v>
      </c>
      <c r="J199">
        <v>2.65</v>
      </c>
      <c r="K199">
        <v>2.95</v>
      </c>
      <c r="L199">
        <v>0.72</v>
      </c>
      <c r="M199">
        <v>1</v>
      </c>
      <c r="N199">
        <v>0</v>
      </c>
      <c r="O199" t="s">
        <v>23</v>
      </c>
    </row>
    <row r="200" spans="1:15" x14ac:dyDescent="0.35">
      <c r="A200" t="s">
        <v>15</v>
      </c>
      <c r="B200">
        <v>2008</v>
      </c>
      <c r="C200">
        <v>49</v>
      </c>
      <c r="D200" t="s">
        <v>16</v>
      </c>
      <c r="E200" t="s">
        <v>17</v>
      </c>
      <c r="F200">
        <v>6.12</v>
      </c>
      <c r="G200">
        <v>38.770000000000003</v>
      </c>
      <c r="H200">
        <v>141.82</v>
      </c>
      <c r="I200">
        <v>201.25</v>
      </c>
      <c r="J200">
        <v>5.19</v>
      </c>
      <c r="K200">
        <v>17.190000000000001</v>
      </c>
      <c r="L200">
        <v>4.2</v>
      </c>
      <c r="M200">
        <v>0</v>
      </c>
      <c r="N200">
        <v>1</v>
      </c>
      <c r="O200" t="s">
        <v>20</v>
      </c>
    </row>
    <row r="201" spans="1:15" x14ac:dyDescent="0.35">
      <c r="A201" t="s">
        <v>15</v>
      </c>
      <c r="B201">
        <v>2008</v>
      </c>
      <c r="C201">
        <v>29</v>
      </c>
      <c r="D201" t="s">
        <v>21</v>
      </c>
      <c r="E201" t="s">
        <v>17</v>
      </c>
      <c r="F201">
        <v>5.25</v>
      </c>
      <c r="G201">
        <v>42.52</v>
      </c>
      <c r="H201">
        <v>136.78</v>
      </c>
      <c r="I201">
        <v>187.71</v>
      </c>
      <c r="J201">
        <v>4.41</v>
      </c>
      <c r="K201">
        <v>-2.04</v>
      </c>
      <c r="L201">
        <v>-0.5</v>
      </c>
      <c r="M201">
        <v>0</v>
      </c>
      <c r="N201">
        <v>0</v>
      </c>
      <c r="O201" t="s">
        <v>18</v>
      </c>
    </row>
    <row r="202" spans="1:15" x14ac:dyDescent="0.35">
      <c r="A202" t="s">
        <v>15</v>
      </c>
      <c r="B202">
        <v>2009</v>
      </c>
      <c r="C202">
        <v>81</v>
      </c>
      <c r="D202" t="s">
        <v>21</v>
      </c>
      <c r="E202" t="s">
        <v>19</v>
      </c>
      <c r="F202">
        <v>6.73</v>
      </c>
      <c r="G202">
        <v>43.81</v>
      </c>
      <c r="H202">
        <v>151.94999999999999</v>
      </c>
      <c r="I202">
        <v>221.95</v>
      </c>
      <c r="J202">
        <v>5.07</v>
      </c>
      <c r="K202">
        <v>11.45</v>
      </c>
      <c r="L202">
        <v>2.8</v>
      </c>
      <c r="M202">
        <v>1</v>
      </c>
      <c r="N202">
        <v>1</v>
      </c>
      <c r="O202" t="s">
        <v>20</v>
      </c>
    </row>
    <row r="203" spans="1:15" x14ac:dyDescent="0.35">
      <c r="A203" t="s">
        <v>15</v>
      </c>
      <c r="B203">
        <v>2009</v>
      </c>
      <c r="C203">
        <v>85</v>
      </c>
      <c r="D203" t="s">
        <v>21</v>
      </c>
      <c r="E203" t="s">
        <v>19</v>
      </c>
      <c r="F203">
        <v>8.93</v>
      </c>
      <c r="G203">
        <v>17.37</v>
      </c>
      <c r="H203">
        <v>167.26</v>
      </c>
      <c r="I203">
        <v>192.51</v>
      </c>
      <c r="J203">
        <v>11.08</v>
      </c>
      <c r="K203">
        <v>11.75</v>
      </c>
      <c r="L203">
        <v>2.87</v>
      </c>
      <c r="M203">
        <v>1</v>
      </c>
      <c r="N203">
        <v>1</v>
      </c>
      <c r="O203" t="s">
        <v>20</v>
      </c>
    </row>
    <row r="204" spans="1:15" x14ac:dyDescent="0.35">
      <c r="A204" t="s">
        <v>15</v>
      </c>
      <c r="B204">
        <v>2009</v>
      </c>
      <c r="C204">
        <v>13</v>
      </c>
      <c r="D204" t="s">
        <v>21</v>
      </c>
      <c r="E204" t="s">
        <v>24</v>
      </c>
      <c r="F204">
        <v>5.68</v>
      </c>
      <c r="G204">
        <v>55.44</v>
      </c>
      <c r="H204">
        <v>102.8</v>
      </c>
      <c r="I204">
        <v>133.49</v>
      </c>
      <c r="J204">
        <v>2.41</v>
      </c>
      <c r="K204">
        <v>13.05</v>
      </c>
      <c r="L204">
        <v>3.19</v>
      </c>
      <c r="M204">
        <v>0</v>
      </c>
      <c r="N204">
        <v>1</v>
      </c>
      <c r="O204" t="s">
        <v>23</v>
      </c>
    </row>
    <row r="205" spans="1:15" x14ac:dyDescent="0.35">
      <c r="A205" t="s">
        <v>15</v>
      </c>
      <c r="B205">
        <v>2009</v>
      </c>
      <c r="C205">
        <v>64</v>
      </c>
      <c r="D205" t="s">
        <v>21</v>
      </c>
      <c r="E205" t="s">
        <v>19</v>
      </c>
      <c r="F205">
        <v>8.48</v>
      </c>
      <c r="G205">
        <v>37.909999999999997</v>
      </c>
      <c r="H205">
        <v>193.54</v>
      </c>
      <c r="I205">
        <v>129.56</v>
      </c>
      <c r="J205">
        <v>3.42</v>
      </c>
      <c r="K205">
        <v>14.29</v>
      </c>
      <c r="L205">
        <v>3.49</v>
      </c>
      <c r="M205">
        <v>1</v>
      </c>
      <c r="N205">
        <v>1</v>
      </c>
      <c r="O205" t="s">
        <v>20</v>
      </c>
    </row>
    <row r="206" spans="1:15" x14ac:dyDescent="0.35">
      <c r="A206" t="s">
        <v>15</v>
      </c>
      <c r="B206">
        <v>2009</v>
      </c>
      <c r="C206">
        <v>76</v>
      </c>
      <c r="D206" t="s">
        <v>21</v>
      </c>
      <c r="E206" t="s">
        <v>19</v>
      </c>
      <c r="F206">
        <v>7.03</v>
      </c>
      <c r="G206">
        <v>26.72</v>
      </c>
      <c r="H206">
        <v>158.62</v>
      </c>
      <c r="I206">
        <v>209.34</v>
      </c>
      <c r="J206">
        <v>7.84</v>
      </c>
      <c r="K206">
        <v>14.88</v>
      </c>
      <c r="L206">
        <v>3.64</v>
      </c>
      <c r="M206">
        <v>1</v>
      </c>
      <c r="N206">
        <v>1</v>
      </c>
      <c r="O206" t="s">
        <v>20</v>
      </c>
    </row>
    <row r="207" spans="1:15" x14ac:dyDescent="0.35">
      <c r="A207" t="s">
        <v>15</v>
      </c>
      <c r="B207">
        <v>2009</v>
      </c>
      <c r="C207">
        <v>83</v>
      </c>
      <c r="D207" t="s">
        <v>16</v>
      </c>
      <c r="E207" t="s">
        <v>19</v>
      </c>
      <c r="F207">
        <v>6.92</v>
      </c>
      <c r="G207">
        <v>33.270000000000003</v>
      </c>
      <c r="H207">
        <v>102.37</v>
      </c>
      <c r="I207">
        <v>163.54</v>
      </c>
      <c r="J207">
        <v>4.92</v>
      </c>
      <c r="K207">
        <v>9.81</v>
      </c>
      <c r="L207">
        <v>2.4</v>
      </c>
      <c r="M207">
        <v>1</v>
      </c>
      <c r="N207">
        <v>0</v>
      </c>
      <c r="O207" t="s">
        <v>23</v>
      </c>
    </row>
    <row r="208" spans="1:15" x14ac:dyDescent="0.35">
      <c r="A208" t="s">
        <v>15</v>
      </c>
      <c r="B208">
        <v>2009</v>
      </c>
      <c r="C208">
        <v>56</v>
      </c>
      <c r="D208" t="s">
        <v>16</v>
      </c>
      <c r="E208" t="s">
        <v>17</v>
      </c>
      <c r="F208">
        <v>8.2200000000000006</v>
      </c>
      <c r="G208">
        <v>45.78</v>
      </c>
      <c r="H208">
        <v>103.4</v>
      </c>
      <c r="I208">
        <v>157.84</v>
      </c>
      <c r="J208">
        <v>3.45</v>
      </c>
      <c r="K208">
        <v>5.3</v>
      </c>
      <c r="L208">
        <v>1.29</v>
      </c>
      <c r="M208">
        <v>1</v>
      </c>
      <c r="N208">
        <v>0</v>
      </c>
      <c r="O208" t="s">
        <v>23</v>
      </c>
    </row>
    <row r="209" spans="1:15" x14ac:dyDescent="0.35">
      <c r="A209" t="s">
        <v>15</v>
      </c>
      <c r="B209">
        <v>2009</v>
      </c>
      <c r="C209">
        <v>30</v>
      </c>
      <c r="D209" t="s">
        <v>16</v>
      </c>
      <c r="E209" t="s">
        <v>17</v>
      </c>
      <c r="F209">
        <v>4.93</v>
      </c>
      <c r="G209">
        <v>44.14</v>
      </c>
      <c r="H209">
        <v>165.31</v>
      </c>
      <c r="I209">
        <v>202.29</v>
      </c>
      <c r="J209">
        <v>4.58</v>
      </c>
      <c r="K209">
        <v>8.65</v>
      </c>
      <c r="L209">
        <v>2.11</v>
      </c>
      <c r="M209">
        <v>0</v>
      </c>
      <c r="N209">
        <v>0</v>
      </c>
      <c r="O209" t="s">
        <v>20</v>
      </c>
    </row>
    <row r="210" spans="1:15" x14ac:dyDescent="0.35">
      <c r="A210" t="s">
        <v>15</v>
      </c>
      <c r="B210">
        <v>2009</v>
      </c>
      <c r="C210">
        <v>48</v>
      </c>
      <c r="D210" t="s">
        <v>16</v>
      </c>
      <c r="E210" t="s">
        <v>17</v>
      </c>
      <c r="F210">
        <v>9.27</v>
      </c>
      <c r="G210">
        <v>47.73</v>
      </c>
      <c r="H210">
        <v>175.49</v>
      </c>
      <c r="I210">
        <v>204.8</v>
      </c>
      <c r="J210">
        <v>4.29</v>
      </c>
      <c r="K210">
        <v>6.52</v>
      </c>
      <c r="L210">
        <v>1.59</v>
      </c>
      <c r="M210">
        <v>1</v>
      </c>
      <c r="N210">
        <v>0</v>
      </c>
      <c r="O210" t="s">
        <v>20</v>
      </c>
    </row>
    <row r="211" spans="1:15" x14ac:dyDescent="0.35">
      <c r="A211" t="s">
        <v>15</v>
      </c>
      <c r="B211">
        <v>2009</v>
      </c>
      <c r="C211">
        <v>37</v>
      </c>
      <c r="D211" t="s">
        <v>16</v>
      </c>
      <c r="E211" t="s">
        <v>17</v>
      </c>
      <c r="F211">
        <v>6.16</v>
      </c>
      <c r="G211">
        <v>41.89</v>
      </c>
      <c r="H211">
        <v>127.5</v>
      </c>
      <c r="I211">
        <v>193.4</v>
      </c>
      <c r="J211">
        <v>4.62</v>
      </c>
      <c r="K211">
        <v>6.64</v>
      </c>
      <c r="L211">
        <v>1.62</v>
      </c>
      <c r="M211">
        <v>0</v>
      </c>
      <c r="N211">
        <v>0</v>
      </c>
      <c r="O211" t="s">
        <v>23</v>
      </c>
    </row>
    <row r="212" spans="1:15" x14ac:dyDescent="0.35">
      <c r="A212" t="s">
        <v>15</v>
      </c>
      <c r="B212">
        <v>2009</v>
      </c>
      <c r="C212">
        <v>61</v>
      </c>
      <c r="D212" t="s">
        <v>16</v>
      </c>
      <c r="E212" t="s">
        <v>19</v>
      </c>
      <c r="F212">
        <v>7.4</v>
      </c>
      <c r="G212">
        <v>41.75</v>
      </c>
      <c r="H212">
        <v>133.62</v>
      </c>
      <c r="I212">
        <v>209.66</v>
      </c>
      <c r="J212">
        <v>5.0199999999999996</v>
      </c>
      <c r="K212">
        <v>8.2799999999999994</v>
      </c>
      <c r="L212">
        <v>2.02</v>
      </c>
      <c r="M212">
        <v>1</v>
      </c>
      <c r="N212">
        <v>0</v>
      </c>
      <c r="O212" t="s">
        <v>20</v>
      </c>
    </row>
    <row r="213" spans="1:15" x14ac:dyDescent="0.35">
      <c r="A213" t="s">
        <v>15</v>
      </c>
      <c r="B213">
        <v>2009</v>
      </c>
      <c r="C213">
        <v>25</v>
      </c>
      <c r="D213" t="s">
        <v>16</v>
      </c>
      <c r="E213" t="s">
        <v>17</v>
      </c>
      <c r="F213">
        <v>7.03</v>
      </c>
      <c r="G213">
        <v>39.799999999999997</v>
      </c>
      <c r="H213">
        <v>130.75</v>
      </c>
      <c r="I213">
        <v>156.84</v>
      </c>
      <c r="J213">
        <v>3.94</v>
      </c>
      <c r="K213">
        <v>10.220000000000001</v>
      </c>
      <c r="L213">
        <v>2.5</v>
      </c>
      <c r="M213">
        <v>1</v>
      </c>
      <c r="N213">
        <v>0</v>
      </c>
      <c r="O213" t="s">
        <v>18</v>
      </c>
    </row>
    <row r="214" spans="1:15" x14ac:dyDescent="0.35">
      <c r="A214" t="s">
        <v>15</v>
      </c>
      <c r="B214">
        <v>2009</v>
      </c>
      <c r="C214">
        <v>5</v>
      </c>
      <c r="D214" t="s">
        <v>16</v>
      </c>
      <c r="E214" t="s">
        <v>22</v>
      </c>
      <c r="F214">
        <v>5.32</v>
      </c>
      <c r="G214">
        <v>32.549999999999997</v>
      </c>
      <c r="H214">
        <v>184.23</v>
      </c>
      <c r="I214">
        <v>168.61</v>
      </c>
      <c r="J214">
        <v>5.18</v>
      </c>
      <c r="K214">
        <v>6.11</v>
      </c>
      <c r="L214">
        <v>1.49</v>
      </c>
      <c r="M214">
        <v>0</v>
      </c>
      <c r="N214">
        <v>0</v>
      </c>
      <c r="O214" t="s">
        <v>20</v>
      </c>
    </row>
    <row r="215" spans="1:15" x14ac:dyDescent="0.35">
      <c r="A215" t="s">
        <v>15</v>
      </c>
      <c r="B215">
        <v>2009</v>
      </c>
      <c r="C215">
        <v>4</v>
      </c>
      <c r="D215" t="s">
        <v>16</v>
      </c>
      <c r="E215" t="s">
        <v>22</v>
      </c>
      <c r="F215">
        <v>6.27</v>
      </c>
      <c r="G215">
        <v>55.38</v>
      </c>
      <c r="H215">
        <v>151.09</v>
      </c>
      <c r="I215">
        <v>166.52</v>
      </c>
      <c r="J215">
        <v>3.01</v>
      </c>
      <c r="K215">
        <v>7.98</v>
      </c>
      <c r="L215">
        <v>1.95</v>
      </c>
      <c r="M215">
        <v>0</v>
      </c>
      <c r="N215">
        <v>0</v>
      </c>
      <c r="O215" t="s">
        <v>18</v>
      </c>
    </row>
    <row r="216" spans="1:15" x14ac:dyDescent="0.35">
      <c r="A216" t="s">
        <v>15</v>
      </c>
      <c r="B216">
        <v>2009</v>
      </c>
      <c r="C216">
        <v>13</v>
      </c>
      <c r="D216" t="s">
        <v>16</v>
      </c>
      <c r="E216" t="s">
        <v>24</v>
      </c>
      <c r="F216">
        <v>7.09</v>
      </c>
      <c r="G216">
        <v>47.79</v>
      </c>
      <c r="H216">
        <v>104.83</v>
      </c>
      <c r="I216">
        <v>115.41</v>
      </c>
      <c r="J216">
        <v>2.41</v>
      </c>
      <c r="K216">
        <v>8.8800000000000008</v>
      </c>
      <c r="L216">
        <v>2.17</v>
      </c>
      <c r="M216">
        <v>1</v>
      </c>
      <c r="N216">
        <v>0</v>
      </c>
      <c r="O216" t="s">
        <v>23</v>
      </c>
    </row>
    <row r="217" spans="1:15" x14ac:dyDescent="0.35">
      <c r="A217" t="s">
        <v>15</v>
      </c>
      <c r="B217">
        <v>2009</v>
      </c>
      <c r="C217">
        <v>19</v>
      </c>
      <c r="D217" t="s">
        <v>16</v>
      </c>
      <c r="E217" t="s">
        <v>24</v>
      </c>
      <c r="F217">
        <v>7.15</v>
      </c>
      <c r="G217">
        <v>61.12</v>
      </c>
      <c r="H217">
        <v>172.35</v>
      </c>
      <c r="I217">
        <v>173.61</v>
      </c>
      <c r="J217">
        <v>2.84</v>
      </c>
      <c r="K217">
        <v>9.43</v>
      </c>
      <c r="L217">
        <v>2.31</v>
      </c>
      <c r="M217">
        <v>1</v>
      </c>
      <c r="N217">
        <v>0</v>
      </c>
      <c r="O217" t="s">
        <v>20</v>
      </c>
    </row>
    <row r="218" spans="1:15" x14ac:dyDescent="0.35">
      <c r="A218" t="s">
        <v>15</v>
      </c>
      <c r="B218">
        <v>2009</v>
      </c>
      <c r="C218">
        <v>19</v>
      </c>
      <c r="D218" t="s">
        <v>16</v>
      </c>
      <c r="E218" t="s">
        <v>24</v>
      </c>
      <c r="F218">
        <v>7.15</v>
      </c>
      <c r="G218">
        <v>59.34</v>
      </c>
      <c r="H218">
        <v>168.39</v>
      </c>
      <c r="I218">
        <v>184.11</v>
      </c>
      <c r="J218">
        <v>3.1</v>
      </c>
      <c r="K218">
        <v>4.7</v>
      </c>
      <c r="L218">
        <v>1.1499999999999999</v>
      </c>
      <c r="M218">
        <v>1</v>
      </c>
      <c r="N218">
        <v>0</v>
      </c>
      <c r="O218" t="s">
        <v>20</v>
      </c>
    </row>
    <row r="219" spans="1:15" x14ac:dyDescent="0.35">
      <c r="A219" t="s">
        <v>15</v>
      </c>
      <c r="B219">
        <v>2009</v>
      </c>
      <c r="C219">
        <v>41</v>
      </c>
      <c r="D219" t="s">
        <v>16</v>
      </c>
      <c r="E219" t="s">
        <v>17</v>
      </c>
      <c r="F219">
        <v>7.93</v>
      </c>
      <c r="G219">
        <v>47.79</v>
      </c>
      <c r="H219">
        <v>133.55000000000001</v>
      </c>
      <c r="I219">
        <v>223.38</v>
      </c>
      <c r="J219">
        <v>4.67</v>
      </c>
      <c r="K219">
        <v>8.32</v>
      </c>
      <c r="L219">
        <v>2.0299999999999998</v>
      </c>
      <c r="M219">
        <v>1</v>
      </c>
      <c r="N219">
        <v>0</v>
      </c>
      <c r="O219" t="s">
        <v>20</v>
      </c>
    </row>
    <row r="220" spans="1:15" x14ac:dyDescent="0.35">
      <c r="A220" t="s">
        <v>15</v>
      </c>
      <c r="B220">
        <v>2009</v>
      </c>
      <c r="C220">
        <v>54</v>
      </c>
      <c r="D220" t="s">
        <v>16</v>
      </c>
      <c r="E220" t="s">
        <v>17</v>
      </c>
      <c r="F220">
        <v>7.07</v>
      </c>
      <c r="G220">
        <v>41.61</v>
      </c>
      <c r="H220">
        <v>169.68</v>
      </c>
      <c r="I220">
        <v>161.41</v>
      </c>
      <c r="J220">
        <v>3.88</v>
      </c>
      <c r="K220">
        <v>5.01</v>
      </c>
      <c r="L220">
        <v>1.23</v>
      </c>
      <c r="M220">
        <v>1</v>
      </c>
      <c r="N220">
        <v>0</v>
      </c>
      <c r="O220" t="s">
        <v>20</v>
      </c>
    </row>
    <row r="221" spans="1:15" x14ac:dyDescent="0.35">
      <c r="A221" t="s">
        <v>15</v>
      </c>
      <c r="B221">
        <v>2009</v>
      </c>
      <c r="C221">
        <v>71</v>
      </c>
      <c r="D221" t="s">
        <v>16</v>
      </c>
      <c r="E221" t="s">
        <v>19</v>
      </c>
      <c r="F221">
        <v>7.86</v>
      </c>
      <c r="G221">
        <v>45.71</v>
      </c>
      <c r="H221">
        <v>147.25</v>
      </c>
      <c r="I221">
        <v>103.28</v>
      </c>
      <c r="J221">
        <v>2.2599999999999998</v>
      </c>
      <c r="K221">
        <v>7.56</v>
      </c>
      <c r="L221">
        <v>1.85</v>
      </c>
      <c r="M221">
        <v>1</v>
      </c>
      <c r="N221">
        <v>0</v>
      </c>
      <c r="O221" t="s">
        <v>18</v>
      </c>
    </row>
    <row r="222" spans="1:15" x14ac:dyDescent="0.35">
      <c r="A222" t="s">
        <v>15</v>
      </c>
      <c r="B222">
        <v>2009</v>
      </c>
      <c r="C222">
        <v>37</v>
      </c>
      <c r="D222" t="s">
        <v>21</v>
      </c>
      <c r="E222" t="s">
        <v>17</v>
      </c>
      <c r="F222">
        <v>8.4</v>
      </c>
      <c r="G222">
        <v>47.23</v>
      </c>
      <c r="H222">
        <v>131.6</v>
      </c>
      <c r="I222">
        <v>147.99</v>
      </c>
      <c r="J222">
        <v>3.13</v>
      </c>
      <c r="K222">
        <v>10.42</v>
      </c>
      <c r="L222">
        <v>2.5499999999999998</v>
      </c>
      <c r="M222">
        <v>1</v>
      </c>
      <c r="N222">
        <v>1</v>
      </c>
      <c r="O222" t="s">
        <v>18</v>
      </c>
    </row>
    <row r="223" spans="1:15" x14ac:dyDescent="0.35">
      <c r="A223" t="s">
        <v>15</v>
      </c>
      <c r="B223">
        <v>2009</v>
      </c>
      <c r="C223">
        <v>28</v>
      </c>
      <c r="D223" t="s">
        <v>16</v>
      </c>
      <c r="E223" t="s">
        <v>17</v>
      </c>
      <c r="F223">
        <v>5.97</v>
      </c>
      <c r="G223">
        <v>49.99</v>
      </c>
      <c r="H223">
        <v>171.94</v>
      </c>
      <c r="I223">
        <v>102.16</v>
      </c>
      <c r="J223">
        <v>2.04</v>
      </c>
      <c r="K223">
        <v>10.91</v>
      </c>
      <c r="L223">
        <v>2.67</v>
      </c>
      <c r="M223">
        <v>0</v>
      </c>
      <c r="N223">
        <v>1</v>
      </c>
      <c r="O223" t="s">
        <v>20</v>
      </c>
    </row>
    <row r="224" spans="1:15" x14ac:dyDescent="0.35">
      <c r="A224" t="s">
        <v>15</v>
      </c>
      <c r="B224">
        <v>2009</v>
      </c>
      <c r="C224">
        <v>68</v>
      </c>
      <c r="D224" t="s">
        <v>21</v>
      </c>
      <c r="E224" t="s">
        <v>19</v>
      </c>
      <c r="F224">
        <v>6.84</v>
      </c>
      <c r="G224">
        <v>33.43</v>
      </c>
      <c r="H224">
        <v>131.88</v>
      </c>
      <c r="I224">
        <v>117.41</v>
      </c>
      <c r="J224">
        <v>3.51</v>
      </c>
      <c r="K224">
        <v>10.19</v>
      </c>
      <c r="L224">
        <v>2.4900000000000002</v>
      </c>
      <c r="M224">
        <v>1</v>
      </c>
      <c r="N224">
        <v>0</v>
      </c>
      <c r="O224" t="s">
        <v>18</v>
      </c>
    </row>
    <row r="225" spans="1:15" x14ac:dyDescent="0.35">
      <c r="A225" t="s">
        <v>15</v>
      </c>
      <c r="B225">
        <v>2009</v>
      </c>
      <c r="C225">
        <v>68</v>
      </c>
      <c r="D225" t="s">
        <v>21</v>
      </c>
      <c r="E225" t="s">
        <v>19</v>
      </c>
      <c r="F225">
        <v>6.57</v>
      </c>
      <c r="G225">
        <v>38.07</v>
      </c>
      <c r="H225">
        <v>176.67</v>
      </c>
      <c r="I225">
        <v>316.57</v>
      </c>
      <c r="J225">
        <v>8.32</v>
      </c>
      <c r="K225">
        <v>9.9700000000000006</v>
      </c>
      <c r="L225">
        <v>2.44</v>
      </c>
      <c r="M225">
        <v>1</v>
      </c>
      <c r="N225">
        <v>0</v>
      </c>
      <c r="O225" t="s">
        <v>20</v>
      </c>
    </row>
    <row r="226" spans="1:15" x14ac:dyDescent="0.35">
      <c r="A226" t="s">
        <v>15</v>
      </c>
      <c r="B226">
        <v>2009</v>
      </c>
      <c r="C226">
        <v>14</v>
      </c>
      <c r="D226" t="s">
        <v>21</v>
      </c>
      <c r="E226" t="s">
        <v>24</v>
      </c>
      <c r="F226">
        <v>6.94</v>
      </c>
      <c r="G226">
        <v>60.49</v>
      </c>
      <c r="H226">
        <v>95.16</v>
      </c>
      <c r="I226">
        <v>56.63</v>
      </c>
      <c r="J226">
        <v>0.94</v>
      </c>
      <c r="K226">
        <v>9.5399999999999991</v>
      </c>
      <c r="L226">
        <v>2.33</v>
      </c>
      <c r="M226">
        <v>1</v>
      </c>
      <c r="N226">
        <v>0</v>
      </c>
      <c r="O226" t="s">
        <v>23</v>
      </c>
    </row>
    <row r="227" spans="1:15" x14ac:dyDescent="0.35">
      <c r="A227" t="s">
        <v>15</v>
      </c>
      <c r="B227">
        <v>2009</v>
      </c>
      <c r="C227">
        <v>1</v>
      </c>
      <c r="D227" t="s">
        <v>21</v>
      </c>
      <c r="E227" t="s">
        <v>22</v>
      </c>
      <c r="F227">
        <v>5.66</v>
      </c>
      <c r="G227">
        <v>43.41</v>
      </c>
      <c r="H227">
        <v>204.54</v>
      </c>
      <c r="I227">
        <v>196.66</v>
      </c>
      <c r="J227">
        <v>4.53</v>
      </c>
      <c r="K227">
        <v>9.44</v>
      </c>
      <c r="L227">
        <v>2.31</v>
      </c>
      <c r="M227">
        <v>0</v>
      </c>
      <c r="N227">
        <v>0</v>
      </c>
      <c r="O227" t="s">
        <v>20</v>
      </c>
    </row>
    <row r="228" spans="1:15" x14ac:dyDescent="0.35">
      <c r="A228" t="s">
        <v>15</v>
      </c>
      <c r="B228">
        <v>2009</v>
      </c>
      <c r="C228">
        <v>58</v>
      </c>
      <c r="D228" t="s">
        <v>21</v>
      </c>
      <c r="E228" t="s">
        <v>17</v>
      </c>
      <c r="F228">
        <v>8.27</v>
      </c>
      <c r="G228">
        <v>48.62</v>
      </c>
      <c r="H228">
        <v>149.1</v>
      </c>
      <c r="I228">
        <v>128.31</v>
      </c>
      <c r="J228">
        <v>2.64</v>
      </c>
      <c r="K228">
        <v>9.2799999999999994</v>
      </c>
      <c r="L228">
        <v>2.27</v>
      </c>
      <c r="M228">
        <v>1</v>
      </c>
      <c r="N228">
        <v>0</v>
      </c>
      <c r="O228" t="s">
        <v>18</v>
      </c>
    </row>
    <row r="229" spans="1:15" x14ac:dyDescent="0.35">
      <c r="A229" t="s">
        <v>15</v>
      </c>
      <c r="B229">
        <v>2009</v>
      </c>
      <c r="C229">
        <v>40</v>
      </c>
      <c r="D229" t="s">
        <v>21</v>
      </c>
      <c r="E229" t="s">
        <v>17</v>
      </c>
      <c r="F229">
        <v>7.39</v>
      </c>
      <c r="G229">
        <v>71.459999999999994</v>
      </c>
      <c r="H229">
        <v>156.41</v>
      </c>
      <c r="I229">
        <v>153.86000000000001</v>
      </c>
      <c r="J229">
        <v>2.15</v>
      </c>
      <c r="K229">
        <v>9.2100000000000009</v>
      </c>
      <c r="L229">
        <v>2.25</v>
      </c>
      <c r="M229">
        <v>1</v>
      </c>
      <c r="N229">
        <v>0</v>
      </c>
      <c r="O229" t="s">
        <v>18</v>
      </c>
    </row>
    <row r="230" spans="1:15" x14ac:dyDescent="0.35">
      <c r="A230" t="s">
        <v>15</v>
      </c>
      <c r="B230">
        <v>2009</v>
      </c>
      <c r="C230">
        <v>70</v>
      </c>
      <c r="D230" t="s">
        <v>21</v>
      </c>
      <c r="E230" t="s">
        <v>19</v>
      </c>
      <c r="F230">
        <v>8.41</v>
      </c>
      <c r="G230">
        <v>39.159999999999997</v>
      </c>
      <c r="H230">
        <v>175.59</v>
      </c>
      <c r="I230">
        <v>207.9</v>
      </c>
      <c r="J230">
        <v>5.31</v>
      </c>
      <c r="K230">
        <v>8.65</v>
      </c>
      <c r="L230">
        <v>2.11</v>
      </c>
      <c r="M230">
        <v>1</v>
      </c>
      <c r="N230">
        <v>0</v>
      </c>
      <c r="O230" t="s">
        <v>20</v>
      </c>
    </row>
    <row r="231" spans="1:15" x14ac:dyDescent="0.35">
      <c r="A231" t="s">
        <v>15</v>
      </c>
      <c r="B231">
        <v>2009</v>
      </c>
      <c r="C231">
        <v>47</v>
      </c>
      <c r="D231" t="s">
        <v>21</v>
      </c>
      <c r="E231" t="s">
        <v>17</v>
      </c>
      <c r="F231">
        <v>6.76</v>
      </c>
      <c r="G231">
        <v>23.53</v>
      </c>
      <c r="H231">
        <v>177.5</v>
      </c>
      <c r="I231">
        <v>105.72</v>
      </c>
      <c r="J231">
        <v>4.49</v>
      </c>
      <c r="K231">
        <v>8.61</v>
      </c>
      <c r="L231">
        <v>2.1</v>
      </c>
      <c r="M231">
        <v>1</v>
      </c>
      <c r="N231">
        <v>0</v>
      </c>
      <c r="O231" t="s">
        <v>20</v>
      </c>
    </row>
    <row r="232" spans="1:15" x14ac:dyDescent="0.35">
      <c r="A232" t="s">
        <v>15</v>
      </c>
      <c r="B232">
        <v>2009</v>
      </c>
      <c r="C232">
        <v>71</v>
      </c>
      <c r="D232" t="s">
        <v>21</v>
      </c>
      <c r="E232" t="s">
        <v>19</v>
      </c>
      <c r="F232">
        <v>6.25</v>
      </c>
      <c r="G232">
        <v>38.32</v>
      </c>
      <c r="H232">
        <v>142.94</v>
      </c>
      <c r="I232">
        <v>141.11000000000001</v>
      </c>
      <c r="J232">
        <v>3.68</v>
      </c>
      <c r="K232">
        <v>8.5299999999999994</v>
      </c>
      <c r="L232">
        <v>2.09</v>
      </c>
      <c r="M232">
        <v>0</v>
      </c>
      <c r="N232">
        <v>0</v>
      </c>
      <c r="O232" t="s">
        <v>18</v>
      </c>
    </row>
    <row r="233" spans="1:15" x14ac:dyDescent="0.35">
      <c r="A233" t="s">
        <v>15</v>
      </c>
      <c r="B233">
        <v>2009</v>
      </c>
      <c r="C233">
        <v>61</v>
      </c>
      <c r="D233" t="s">
        <v>21</v>
      </c>
      <c r="E233" t="s">
        <v>19</v>
      </c>
      <c r="F233">
        <v>8.24</v>
      </c>
      <c r="G233">
        <v>57.72</v>
      </c>
      <c r="H233">
        <v>111.5</v>
      </c>
      <c r="I233">
        <v>255.38</v>
      </c>
      <c r="J233">
        <v>4.42</v>
      </c>
      <c r="K233">
        <v>8.2200000000000006</v>
      </c>
      <c r="L233">
        <v>2.0099999999999998</v>
      </c>
      <c r="M233">
        <v>1</v>
      </c>
      <c r="N233">
        <v>0</v>
      </c>
      <c r="O233" t="s">
        <v>20</v>
      </c>
    </row>
    <row r="234" spans="1:15" x14ac:dyDescent="0.35">
      <c r="A234" t="s">
        <v>15</v>
      </c>
      <c r="B234">
        <v>2009</v>
      </c>
      <c r="C234">
        <v>36</v>
      </c>
      <c r="D234" t="s">
        <v>16</v>
      </c>
      <c r="E234" t="s">
        <v>17</v>
      </c>
      <c r="F234">
        <v>8.31</v>
      </c>
      <c r="G234">
        <v>33.090000000000003</v>
      </c>
      <c r="H234">
        <v>145.94</v>
      </c>
      <c r="I234">
        <v>92.51</v>
      </c>
      <c r="J234">
        <v>2.8</v>
      </c>
      <c r="K234">
        <v>11.94</v>
      </c>
      <c r="L234">
        <v>2.92</v>
      </c>
      <c r="M234">
        <v>1</v>
      </c>
      <c r="N234">
        <v>1</v>
      </c>
      <c r="O234" t="s">
        <v>18</v>
      </c>
    </row>
    <row r="235" spans="1:15" x14ac:dyDescent="0.35">
      <c r="A235" t="s">
        <v>15</v>
      </c>
      <c r="B235">
        <v>2009</v>
      </c>
      <c r="C235">
        <v>29</v>
      </c>
      <c r="D235" t="s">
        <v>21</v>
      </c>
      <c r="E235" t="s">
        <v>17</v>
      </c>
      <c r="F235">
        <v>5.29</v>
      </c>
      <c r="G235">
        <v>50.19</v>
      </c>
      <c r="H235">
        <v>153.38999999999999</v>
      </c>
      <c r="I235">
        <v>268.11</v>
      </c>
      <c r="J235">
        <v>5.34</v>
      </c>
      <c r="K235">
        <v>7.6</v>
      </c>
      <c r="L235">
        <v>1.86</v>
      </c>
      <c r="M235">
        <v>0</v>
      </c>
      <c r="N235">
        <v>0</v>
      </c>
      <c r="O235" t="s">
        <v>20</v>
      </c>
    </row>
    <row r="236" spans="1:15" x14ac:dyDescent="0.35">
      <c r="A236" t="s">
        <v>15</v>
      </c>
      <c r="B236">
        <v>2009</v>
      </c>
      <c r="C236">
        <v>47</v>
      </c>
      <c r="D236" t="s">
        <v>21</v>
      </c>
      <c r="E236" t="s">
        <v>17</v>
      </c>
      <c r="F236">
        <v>6.67</v>
      </c>
      <c r="G236">
        <v>32.26</v>
      </c>
      <c r="H236">
        <v>104.74</v>
      </c>
      <c r="I236">
        <v>187.78</v>
      </c>
      <c r="J236">
        <v>5.82</v>
      </c>
      <c r="K236">
        <v>7.49</v>
      </c>
      <c r="L236">
        <v>1.83</v>
      </c>
      <c r="M236">
        <v>1</v>
      </c>
      <c r="N236">
        <v>0</v>
      </c>
      <c r="O236" t="s">
        <v>23</v>
      </c>
    </row>
    <row r="237" spans="1:15" x14ac:dyDescent="0.35">
      <c r="A237" t="s">
        <v>15</v>
      </c>
      <c r="B237">
        <v>2009</v>
      </c>
      <c r="C237">
        <v>73</v>
      </c>
      <c r="D237" t="s">
        <v>21</v>
      </c>
      <c r="E237" t="s">
        <v>19</v>
      </c>
      <c r="F237">
        <v>8.36</v>
      </c>
      <c r="G237">
        <v>32.75</v>
      </c>
      <c r="H237">
        <v>177.02</v>
      </c>
      <c r="I237">
        <v>188.27</v>
      </c>
      <c r="J237">
        <v>5.75</v>
      </c>
      <c r="K237">
        <v>7.24</v>
      </c>
      <c r="L237">
        <v>1.77</v>
      </c>
      <c r="M237">
        <v>1</v>
      </c>
      <c r="N237">
        <v>0</v>
      </c>
      <c r="O237" t="s">
        <v>20</v>
      </c>
    </row>
    <row r="238" spans="1:15" x14ac:dyDescent="0.35">
      <c r="A238" t="s">
        <v>15</v>
      </c>
      <c r="B238">
        <v>2009</v>
      </c>
      <c r="C238">
        <v>38</v>
      </c>
      <c r="D238" t="s">
        <v>21</v>
      </c>
      <c r="E238" t="s">
        <v>17</v>
      </c>
      <c r="F238">
        <v>7.46</v>
      </c>
      <c r="G238">
        <v>46.73</v>
      </c>
      <c r="H238">
        <v>137.38</v>
      </c>
      <c r="I238">
        <v>243.77</v>
      </c>
      <c r="J238">
        <v>5.22</v>
      </c>
      <c r="K238">
        <v>7.05</v>
      </c>
      <c r="L238">
        <v>1.72</v>
      </c>
      <c r="M238">
        <v>1</v>
      </c>
      <c r="N238">
        <v>0</v>
      </c>
      <c r="O238" t="s">
        <v>20</v>
      </c>
    </row>
    <row r="239" spans="1:15" x14ac:dyDescent="0.35">
      <c r="A239" t="s">
        <v>15</v>
      </c>
      <c r="B239">
        <v>2009</v>
      </c>
      <c r="C239">
        <v>38</v>
      </c>
      <c r="D239" t="s">
        <v>21</v>
      </c>
      <c r="E239" t="s">
        <v>17</v>
      </c>
      <c r="F239">
        <v>8.23</v>
      </c>
      <c r="G239">
        <v>41.82</v>
      </c>
      <c r="H239">
        <v>87.31</v>
      </c>
      <c r="I239">
        <v>227.15</v>
      </c>
      <c r="J239">
        <v>5.43</v>
      </c>
      <c r="K239">
        <v>6.77</v>
      </c>
      <c r="L239">
        <v>1.66</v>
      </c>
      <c r="M239">
        <v>1</v>
      </c>
      <c r="N239">
        <v>0</v>
      </c>
      <c r="O239" t="s">
        <v>20</v>
      </c>
    </row>
    <row r="240" spans="1:15" x14ac:dyDescent="0.35">
      <c r="A240" t="s">
        <v>15</v>
      </c>
      <c r="B240">
        <v>2009</v>
      </c>
      <c r="C240">
        <v>79</v>
      </c>
      <c r="D240" t="s">
        <v>16</v>
      </c>
      <c r="E240" t="s">
        <v>19</v>
      </c>
      <c r="F240">
        <v>7.81</v>
      </c>
      <c r="G240">
        <v>47.81</v>
      </c>
      <c r="H240">
        <v>128.15</v>
      </c>
      <c r="I240">
        <v>161.47</v>
      </c>
      <c r="J240">
        <v>3.38</v>
      </c>
      <c r="K240">
        <v>12.71</v>
      </c>
      <c r="L240">
        <v>3.11</v>
      </c>
      <c r="M240">
        <v>1</v>
      </c>
      <c r="N240">
        <v>1</v>
      </c>
      <c r="O240" t="s">
        <v>23</v>
      </c>
    </row>
    <row r="241" spans="1:15" x14ac:dyDescent="0.35">
      <c r="A241" t="s">
        <v>15</v>
      </c>
      <c r="B241">
        <v>2009</v>
      </c>
      <c r="C241">
        <v>20</v>
      </c>
      <c r="D241" t="s">
        <v>16</v>
      </c>
      <c r="E241" t="s">
        <v>17</v>
      </c>
      <c r="F241">
        <v>4.8600000000000003</v>
      </c>
      <c r="G241">
        <v>61.57</v>
      </c>
      <c r="H241">
        <v>139.78</v>
      </c>
      <c r="I241">
        <v>120.54</v>
      </c>
      <c r="J241">
        <v>1.96</v>
      </c>
      <c r="K241">
        <v>12.94</v>
      </c>
      <c r="L241">
        <v>3.16</v>
      </c>
      <c r="M241">
        <v>0</v>
      </c>
      <c r="N241">
        <v>1</v>
      </c>
      <c r="O241" t="s">
        <v>18</v>
      </c>
    </row>
    <row r="242" spans="1:15" x14ac:dyDescent="0.35">
      <c r="A242" t="s">
        <v>15</v>
      </c>
      <c r="B242">
        <v>2009</v>
      </c>
      <c r="C242">
        <v>19</v>
      </c>
      <c r="D242" t="s">
        <v>21</v>
      </c>
      <c r="E242" t="s">
        <v>24</v>
      </c>
      <c r="F242">
        <v>7.45</v>
      </c>
      <c r="G242">
        <v>49.85</v>
      </c>
      <c r="H242">
        <v>136.02000000000001</v>
      </c>
      <c r="I242">
        <v>168.28</v>
      </c>
      <c r="J242">
        <v>3.38</v>
      </c>
      <c r="K242">
        <v>5.34</v>
      </c>
      <c r="L242">
        <v>1.3</v>
      </c>
      <c r="M242">
        <v>1</v>
      </c>
      <c r="N242">
        <v>0</v>
      </c>
      <c r="O242" t="s">
        <v>18</v>
      </c>
    </row>
    <row r="243" spans="1:15" x14ac:dyDescent="0.35">
      <c r="A243" t="s">
        <v>15</v>
      </c>
      <c r="B243">
        <v>2009</v>
      </c>
      <c r="C243">
        <v>24</v>
      </c>
      <c r="D243" t="s">
        <v>21</v>
      </c>
      <c r="E243" t="s">
        <v>17</v>
      </c>
      <c r="F243">
        <v>5.2</v>
      </c>
      <c r="G243">
        <v>60.97</v>
      </c>
      <c r="H243">
        <v>75.39</v>
      </c>
      <c r="I243">
        <v>127.09</v>
      </c>
      <c r="J243">
        <v>2.08</v>
      </c>
      <c r="K243">
        <v>5.31</v>
      </c>
      <c r="L243">
        <v>1.3</v>
      </c>
      <c r="M243">
        <v>0</v>
      </c>
      <c r="N243">
        <v>0</v>
      </c>
      <c r="O243" t="s">
        <v>23</v>
      </c>
    </row>
    <row r="244" spans="1:15" x14ac:dyDescent="0.35">
      <c r="A244" t="s">
        <v>15</v>
      </c>
      <c r="B244">
        <v>2009</v>
      </c>
      <c r="C244">
        <v>28</v>
      </c>
      <c r="D244" t="s">
        <v>21</v>
      </c>
      <c r="E244" t="s">
        <v>17</v>
      </c>
      <c r="F244">
        <v>7.69</v>
      </c>
      <c r="G244">
        <v>51.41</v>
      </c>
      <c r="H244">
        <v>162.04</v>
      </c>
      <c r="I244">
        <v>135.11000000000001</v>
      </c>
      <c r="J244">
        <v>2.63</v>
      </c>
      <c r="K244">
        <v>5.2</v>
      </c>
      <c r="L244">
        <v>1.27</v>
      </c>
      <c r="M244">
        <v>1</v>
      </c>
      <c r="N244">
        <v>0</v>
      </c>
      <c r="O244" t="s">
        <v>20</v>
      </c>
    </row>
    <row r="245" spans="1:15" x14ac:dyDescent="0.35">
      <c r="A245" t="s">
        <v>15</v>
      </c>
      <c r="B245">
        <v>2009</v>
      </c>
      <c r="C245">
        <v>66</v>
      </c>
      <c r="D245" t="s">
        <v>21</v>
      </c>
      <c r="E245" t="s">
        <v>19</v>
      </c>
      <c r="F245">
        <v>9.8000000000000007</v>
      </c>
      <c r="G245">
        <v>40.380000000000003</v>
      </c>
      <c r="H245">
        <v>155.22999999999999</v>
      </c>
      <c r="I245">
        <v>265.74</v>
      </c>
      <c r="J245">
        <v>6.58</v>
      </c>
      <c r="K245">
        <v>5.0199999999999996</v>
      </c>
      <c r="L245">
        <v>1.23</v>
      </c>
      <c r="M245">
        <v>1</v>
      </c>
      <c r="N245">
        <v>0</v>
      </c>
      <c r="O245" t="s">
        <v>20</v>
      </c>
    </row>
    <row r="246" spans="1:15" x14ac:dyDescent="0.35">
      <c r="A246" t="s">
        <v>15</v>
      </c>
      <c r="B246">
        <v>2009</v>
      </c>
      <c r="C246">
        <v>60</v>
      </c>
      <c r="D246" t="s">
        <v>16</v>
      </c>
      <c r="E246" t="s">
        <v>19</v>
      </c>
      <c r="F246">
        <v>7.7</v>
      </c>
      <c r="G246">
        <v>61.39</v>
      </c>
      <c r="H246">
        <v>117.39</v>
      </c>
      <c r="I246">
        <v>203.32</v>
      </c>
      <c r="J246">
        <v>3.31</v>
      </c>
      <c r="K246">
        <v>13.96</v>
      </c>
      <c r="L246">
        <v>3.41</v>
      </c>
      <c r="M246">
        <v>1</v>
      </c>
      <c r="N246">
        <v>1</v>
      </c>
      <c r="O246" t="s">
        <v>20</v>
      </c>
    </row>
    <row r="247" spans="1:15" x14ac:dyDescent="0.35">
      <c r="A247" t="s">
        <v>15</v>
      </c>
      <c r="B247">
        <v>2009</v>
      </c>
      <c r="C247">
        <v>67</v>
      </c>
      <c r="D247" t="s">
        <v>21</v>
      </c>
      <c r="E247" t="s">
        <v>19</v>
      </c>
      <c r="F247">
        <v>8.17</v>
      </c>
      <c r="G247">
        <v>28.53</v>
      </c>
      <c r="H247">
        <v>166.97</v>
      </c>
      <c r="I247">
        <v>213.9</v>
      </c>
      <c r="J247">
        <v>7.5</v>
      </c>
      <c r="K247">
        <v>3.25</v>
      </c>
      <c r="L247">
        <v>0.8</v>
      </c>
      <c r="M247">
        <v>1</v>
      </c>
      <c r="N247">
        <v>0</v>
      </c>
      <c r="O247" t="s">
        <v>20</v>
      </c>
    </row>
    <row r="248" spans="1:15" x14ac:dyDescent="0.35">
      <c r="A248" t="s">
        <v>15</v>
      </c>
      <c r="B248">
        <v>2009</v>
      </c>
      <c r="C248">
        <v>60</v>
      </c>
      <c r="D248" t="s">
        <v>21</v>
      </c>
      <c r="E248" t="s">
        <v>19</v>
      </c>
      <c r="F248">
        <v>7.42</v>
      </c>
      <c r="G248">
        <v>51.03</v>
      </c>
      <c r="H248">
        <v>107.63</v>
      </c>
      <c r="I248">
        <v>239.61</v>
      </c>
      <c r="J248">
        <v>4.7</v>
      </c>
      <c r="K248">
        <v>3.22</v>
      </c>
      <c r="L248">
        <v>0.79</v>
      </c>
      <c r="M248">
        <v>1</v>
      </c>
      <c r="N248">
        <v>0</v>
      </c>
      <c r="O248" t="s">
        <v>20</v>
      </c>
    </row>
    <row r="249" spans="1:15" x14ac:dyDescent="0.35">
      <c r="A249" t="s">
        <v>15</v>
      </c>
      <c r="B249">
        <v>2009</v>
      </c>
      <c r="C249">
        <v>27</v>
      </c>
      <c r="D249" t="s">
        <v>21</v>
      </c>
      <c r="E249" t="s">
        <v>17</v>
      </c>
      <c r="F249">
        <v>4.5999999999999996</v>
      </c>
      <c r="G249">
        <v>59.32</v>
      </c>
      <c r="H249">
        <v>158.21</v>
      </c>
      <c r="I249">
        <v>183.3</v>
      </c>
      <c r="J249">
        <v>3.09</v>
      </c>
      <c r="K249">
        <v>3.1</v>
      </c>
      <c r="L249">
        <v>0.76</v>
      </c>
      <c r="M249">
        <v>0</v>
      </c>
      <c r="N249">
        <v>0</v>
      </c>
      <c r="O249" t="s">
        <v>18</v>
      </c>
    </row>
    <row r="250" spans="1:15" x14ac:dyDescent="0.35">
      <c r="A250" t="s">
        <v>15</v>
      </c>
      <c r="B250">
        <v>2009</v>
      </c>
      <c r="C250">
        <v>63</v>
      </c>
      <c r="D250" t="s">
        <v>21</v>
      </c>
      <c r="E250" t="s">
        <v>19</v>
      </c>
      <c r="F250">
        <v>8.67</v>
      </c>
      <c r="G250">
        <v>24.68</v>
      </c>
      <c r="H250">
        <v>153.71</v>
      </c>
      <c r="I250">
        <v>229.71</v>
      </c>
      <c r="J250">
        <v>9.31</v>
      </c>
      <c r="K250">
        <v>3.02</v>
      </c>
      <c r="L250">
        <v>0.74</v>
      </c>
      <c r="M250">
        <v>1</v>
      </c>
      <c r="N250">
        <v>0</v>
      </c>
      <c r="O250" t="s">
        <v>20</v>
      </c>
    </row>
    <row r="251" spans="1:15" x14ac:dyDescent="0.35">
      <c r="A251" t="s">
        <v>15</v>
      </c>
      <c r="B251">
        <v>2009</v>
      </c>
      <c r="C251">
        <v>8</v>
      </c>
      <c r="D251" t="s">
        <v>21</v>
      </c>
      <c r="E251" t="s">
        <v>22</v>
      </c>
      <c r="F251">
        <v>6.19</v>
      </c>
      <c r="G251">
        <v>51.96</v>
      </c>
      <c r="H251">
        <v>142.57</v>
      </c>
      <c r="I251">
        <v>146.66999999999999</v>
      </c>
      <c r="J251">
        <v>2.82</v>
      </c>
      <c r="K251">
        <v>-0.61</v>
      </c>
      <c r="L251">
        <v>-0.15</v>
      </c>
      <c r="M251">
        <v>0</v>
      </c>
      <c r="N251">
        <v>0</v>
      </c>
      <c r="O251" t="s">
        <v>18</v>
      </c>
    </row>
    <row r="252" spans="1:15" x14ac:dyDescent="0.35">
      <c r="A252" t="s">
        <v>15</v>
      </c>
      <c r="B252">
        <v>2010</v>
      </c>
      <c r="C252">
        <v>68</v>
      </c>
      <c r="D252" t="s">
        <v>21</v>
      </c>
      <c r="E252" t="s">
        <v>19</v>
      </c>
      <c r="F252">
        <v>8.3000000000000007</v>
      </c>
      <c r="G252">
        <v>59.49</v>
      </c>
      <c r="H252">
        <v>158.49</v>
      </c>
      <c r="I252">
        <v>169.45</v>
      </c>
      <c r="J252">
        <v>2.85</v>
      </c>
      <c r="K252">
        <v>11.5</v>
      </c>
      <c r="L252">
        <v>2.81</v>
      </c>
      <c r="M252">
        <v>1</v>
      </c>
      <c r="N252">
        <v>1</v>
      </c>
      <c r="O252" t="s">
        <v>18</v>
      </c>
    </row>
    <row r="253" spans="1:15" x14ac:dyDescent="0.35">
      <c r="A253" t="s">
        <v>15</v>
      </c>
      <c r="B253">
        <v>2010</v>
      </c>
      <c r="C253">
        <v>23</v>
      </c>
      <c r="D253" t="s">
        <v>16</v>
      </c>
      <c r="E253" t="s">
        <v>17</v>
      </c>
      <c r="F253">
        <v>6.93</v>
      </c>
      <c r="G253">
        <v>55.23</v>
      </c>
      <c r="H253">
        <v>120.2</v>
      </c>
      <c r="I253">
        <v>97.73</v>
      </c>
      <c r="J253">
        <v>1.77</v>
      </c>
      <c r="K253">
        <v>10.23</v>
      </c>
      <c r="L253">
        <v>2.5</v>
      </c>
      <c r="M253">
        <v>1</v>
      </c>
      <c r="N253">
        <v>1</v>
      </c>
      <c r="O253" t="s">
        <v>23</v>
      </c>
    </row>
    <row r="254" spans="1:15" x14ac:dyDescent="0.35">
      <c r="A254" t="s">
        <v>15</v>
      </c>
      <c r="B254">
        <v>2010</v>
      </c>
      <c r="C254">
        <v>25</v>
      </c>
      <c r="D254" t="s">
        <v>21</v>
      </c>
      <c r="E254" t="s">
        <v>17</v>
      </c>
      <c r="F254">
        <v>7.64</v>
      </c>
      <c r="G254">
        <v>50.27</v>
      </c>
      <c r="H254">
        <v>204.56</v>
      </c>
      <c r="I254">
        <v>219.53</v>
      </c>
      <c r="J254">
        <v>4.37</v>
      </c>
      <c r="K254">
        <v>11.62</v>
      </c>
      <c r="L254">
        <v>2.84</v>
      </c>
      <c r="M254">
        <v>1</v>
      </c>
      <c r="N254">
        <v>1</v>
      </c>
      <c r="O254" t="s">
        <v>20</v>
      </c>
    </row>
    <row r="255" spans="1:15" x14ac:dyDescent="0.35">
      <c r="A255" t="s">
        <v>15</v>
      </c>
      <c r="B255">
        <v>2010</v>
      </c>
      <c r="C255">
        <v>81</v>
      </c>
      <c r="D255" t="s">
        <v>21</v>
      </c>
      <c r="E255" t="s">
        <v>19</v>
      </c>
      <c r="F255">
        <v>8.3800000000000008</v>
      </c>
      <c r="G255">
        <v>32.76</v>
      </c>
      <c r="H255">
        <v>155.63</v>
      </c>
      <c r="I255">
        <v>181.09</v>
      </c>
      <c r="J255">
        <v>5.53</v>
      </c>
      <c r="K255">
        <v>12.44</v>
      </c>
      <c r="L255">
        <v>3.04</v>
      </c>
      <c r="M255">
        <v>1</v>
      </c>
      <c r="N255">
        <v>1</v>
      </c>
      <c r="O255" t="s">
        <v>18</v>
      </c>
    </row>
    <row r="256" spans="1:15" x14ac:dyDescent="0.35">
      <c r="A256" t="s">
        <v>15</v>
      </c>
      <c r="B256">
        <v>2010</v>
      </c>
      <c r="C256">
        <v>78</v>
      </c>
      <c r="D256" t="s">
        <v>21</v>
      </c>
      <c r="E256" t="s">
        <v>19</v>
      </c>
      <c r="F256">
        <v>7.48</v>
      </c>
      <c r="G256">
        <v>62.48</v>
      </c>
      <c r="H256">
        <v>117.9</v>
      </c>
      <c r="I256">
        <v>201.5</v>
      </c>
      <c r="J256">
        <v>3.22</v>
      </c>
      <c r="K256">
        <v>13.29</v>
      </c>
      <c r="L256">
        <v>3.25</v>
      </c>
      <c r="M256">
        <v>1</v>
      </c>
      <c r="N256">
        <v>1</v>
      </c>
      <c r="O256" t="s">
        <v>20</v>
      </c>
    </row>
    <row r="257" spans="1:15" x14ac:dyDescent="0.35">
      <c r="A257" t="s">
        <v>15</v>
      </c>
      <c r="B257">
        <v>2010</v>
      </c>
      <c r="C257">
        <v>70</v>
      </c>
      <c r="D257" t="s">
        <v>21</v>
      </c>
      <c r="E257" t="s">
        <v>19</v>
      </c>
      <c r="F257">
        <v>6.25</v>
      </c>
      <c r="G257">
        <v>37.76</v>
      </c>
      <c r="H257">
        <v>143.15</v>
      </c>
      <c r="I257">
        <v>255.67</v>
      </c>
      <c r="J257">
        <v>6.77</v>
      </c>
      <c r="K257">
        <v>13.62</v>
      </c>
      <c r="L257">
        <v>3.33</v>
      </c>
      <c r="M257">
        <v>0</v>
      </c>
      <c r="N257">
        <v>1</v>
      </c>
      <c r="O257" t="s">
        <v>20</v>
      </c>
    </row>
    <row r="258" spans="1:15" x14ac:dyDescent="0.35">
      <c r="A258" t="s">
        <v>15</v>
      </c>
      <c r="B258">
        <v>2010</v>
      </c>
      <c r="C258">
        <v>56</v>
      </c>
      <c r="D258" t="s">
        <v>21</v>
      </c>
      <c r="E258" t="s">
        <v>17</v>
      </c>
      <c r="F258">
        <v>8.2799999999999994</v>
      </c>
      <c r="G258">
        <v>24.4</v>
      </c>
      <c r="H258">
        <v>151.33000000000001</v>
      </c>
      <c r="I258">
        <v>264.52</v>
      </c>
      <c r="J258">
        <v>10.84</v>
      </c>
      <c r="K258">
        <v>10.98</v>
      </c>
      <c r="L258">
        <v>2.68</v>
      </c>
      <c r="M258">
        <v>1</v>
      </c>
      <c r="N258">
        <v>1</v>
      </c>
      <c r="O258" t="s">
        <v>20</v>
      </c>
    </row>
    <row r="259" spans="1:15" x14ac:dyDescent="0.35">
      <c r="A259" t="s">
        <v>15</v>
      </c>
      <c r="B259">
        <v>2010</v>
      </c>
      <c r="C259">
        <v>25</v>
      </c>
      <c r="D259" t="s">
        <v>16</v>
      </c>
      <c r="E259" t="s">
        <v>17</v>
      </c>
      <c r="F259">
        <v>8.25</v>
      </c>
      <c r="G259">
        <v>58.16</v>
      </c>
      <c r="H259">
        <v>176.79</v>
      </c>
      <c r="I259">
        <v>177.21</v>
      </c>
      <c r="J259">
        <v>3.05</v>
      </c>
      <c r="K259">
        <v>10.7</v>
      </c>
      <c r="L259">
        <v>2.62</v>
      </c>
      <c r="M259">
        <v>1</v>
      </c>
      <c r="N259">
        <v>1</v>
      </c>
      <c r="O259" t="s">
        <v>20</v>
      </c>
    </row>
    <row r="260" spans="1:15" x14ac:dyDescent="0.35">
      <c r="A260" t="s">
        <v>15</v>
      </c>
      <c r="B260">
        <v>2010</v>
      </c>
      <c r="C260">
        <v>47</v>
      </c>
      <c r="D260" t="s">
        <v>21</v>
      </c>
      <c r="E260" t="s">
        <v>17</v>
      </c>
      <c r="F260">
        <v>6.16</v>
      </c>
      <c r="G260">
        <v>41.07</v>
      </c>
      <c r="H260">
        <v>143.44999999999999</v>
      </c>
      <c r="I260">
        <v>210.68</v>
      </c>
      <c r="J260">
        <v>5.13</v>
      </c>
      <c r="K260">
        <v>10.69</v>
      </c>
      <c r="L260">
        <v>2.61</v>
      </c>
      <c r="M260">
        <v>0</v>
      </c>
      <c r="N260">
        <v>1</v>
      </c>
      <c r="O260" t="s">
        <v>20</v>
      </c>
    </row>
    <row r="261" spans="1:15" x14ac:dyDescent="0.35">
      <c r="A261" t="s">
        <v>15</v>
      </c>
      <c r="B261">
        <v>2010</v>
      </c>
      <c r="C261">
        <v>4</v>
      </c>
      <c r="D261" t="s">
        <v>16</v>
      </c>
      <c r="E261" t="s">
        <v>22</v>
      </c>
      <c r="F261">
        <v>6.54</v>
      </c>
      <c r="G261">
        <v>58.57</v>
      </c>
      <c r="H261">
        <v>138.43</v>
      </c>
      <c r="I261">
        <v>148.34</v>
      </c>
      <c r="J261">
        <v>2.5299999999999998</v>
      </c>
      <c r="K261">
        <v>6.34</v>
      </c>
      <c r="L261">
        <v>1.55</v>
      </c>
      <c r="M261">
        <v>1</v>
      </c>
      <c r="N261">
        <v>0</v>
      </c>
      <c r="O261" t="s">
        <v>18</v>
      </c>
    </row>
    <row r="262" spans="1:15" x14ac:dyDescent="0.35">
      <c r="A262" t="s">
        <v>15</v>
      </c>
      <c r="B262">
        <v>2010</v>
      </c>
      <c r="C262">
        <v>31</v>
      </c>
      <c r="D262" t="s">
        <v>16</v>
      </c>
      <c r="E262" t="s">
        <v>17</v>
      </c>
      <c r="F262">
        <v>7.67</v>
      </c>
      <c r="G262">
        <v>49.4</v>
      </c>
      <c r="H262">
        <v>164.78</v>
      </c>
      <c r="I262">
        <v>203.49</v>
      </c>
      <c r="J262">
        <v>4.12</v>
      </c>
      <c r="K262">
        <v>2.11</v>
      </c>
      <c r="L262">
        <v>0.52</v>
      </c>
      <c r="M262">
        <v>1</v>
      </c>
      <c r="N262">
        <v>0</v>
      </c>
      <c r="O262" t="s">
        <v>20</v>
      </c>
    </row>
    <row r="263" spans="1:15" x14ac:dyDescent="0.35">
      <c r="A263" t="s">
        <v>15</v>
      </c>
      <c r="B263">
        <v>2010</v>
      </c>
      <c r="C263">
        <v>72</v>
      </c>
      <c r="D263" t="s">
        <v>16</v>
      </c>
      <c r="E263" t="s">
        <v>19</v>
      </c>
      <c r="F263">
        <v>8.7899999999999991</v>
      </c>
      <c r="G263">
        <v>23.05</v>
      </c>
      <c r="H263">
        <v>134.19</v>
      </c>
      <c r="I263">
        <v>184.69</v>
      </c>
      <c r="J263">
        <v>8.01</v>
      </c>
      <c r="K263">
        <v>9.24</v>
      </c>
      <c r="L263">
        <v>2.2599999999999998</v>
      </c>
      <c r="M263">
        <v>1</v>
      </c>
      <c r="N263">
        <v>0</v>
      </c>
      <c r="O263" t="s">
        <v>18</v>
      </c>
    </row>
    <row r="264" spans="1:15" x14ac:dyDescent="0.35">
      <c r="A264" t="s">
        <v>15</v>
      </c>
      <c r="B264">
        <v>2010</v>
      </c>
      <c r="C264">
        <v>11</v>
      </c>
      <c r="D264" t="s">
        <v>21</v>
      </c>
      <c r="E264" t="s">
        <v>22</v>
      </c>
      <c r="F264">
        <v>6.79</v>
      </c>
      <c r="G264">
        <v>44.35</v>
      </c>
      <c r="H264">
        <v>101.47</v>
      </c>
      <c r="I264">
        <v>105.46</v>
      </c>
      <c r="J264">
        <v>2.38</v>
      </c>
      <c r="K264">
        <v>10.26</v>
      </c>
      <c r="L264">
        <v>2.5099999999999998</v>
      </c>
      <c r="M264">
        <v>1</v>
      </c>
      <c r="N264">
        <v>1</v>
      </c>
      <c r="O264" t="s">
        <v>23</v>
      </c>
    </row>
    <row r="265" spans="1:15" x14ac:dyDescent="0.35">
      <c r="A265" t="s">
        <v>15</v>
      </c>
      <c r="B265">
        <v>2010</v>
      </c>
      <c r="C265">
        <v>7</v>
      </c>
      <c r="D265" t="s">
        <v>16</v>
      </c>
      <c r="E265" t="s">
        <v>22</v>
      </c>
      <c r="F265">
        <v>5.35</v>
      </c>
      <c r="G265">
        <v>45.88</v>
      </c>
      <c r="H265">
        <v>126.79</v>
      </c>
      <c r="I265">
        <v>198.83</v>
      </c>
      <c r="J265">
        <v>4.33</v>
      </c>
      <c r="K265">
        <v>9.5299999999999994</v>
      </c>
      <c r="L265">
        <v>2.33</v>
      </c>
      <c r="M265">
        <v>0</v>
      </c>
      <c r="N265">
        <v>0</v>
      </c>
      <c r="O265" t="s">
        <v>23</v>
      </c>
    </row>
    <row r="266" spans="1:15" x14ac:dyDescent="0.35">
      <c r="A266" t="s">
        <v>15</v>
      </c>
      <c r="B266">
        <v>2010</v>
      </c>
      <c r="C266">
        <v>1</v>
      </c>
      <c r="D266" t="s">
        <v>16</v>
      </c>
      <c r="E266" t="s">
        <v>22</v>
      </c>
      <c r="F266">
        <v>6.36</v>
      </c>
      <c r="G266">
        <v>41.55</v>
      </c>
      <c r="H266">
        <v>154.88999999999999</v>
      </c>
      <c r="I266">
        <v>280.64999999999998</v>
      </c>
      <c r="J266">
        <v>6.75</v>
      </c>
      <c r="K266">
        <v>-0.97</v>
      </c>
      <c r="L266">
        <v>-0.24</v>
      </c>
      <c r="M266">
        <v>0</v>
      </c>
      <c r="N266">
        <v>0</v>
      </c>
      <c r="O266" t="s">
        <v>20</v>
      </c>
    </row>
    <row r="267" spans="1:15" x14ac:dyDescent="0.35">
      <c r="A267" t="s">
        <v>15</v>
      </c>
      <c r="B267">
        <v>2010</v>
      </c>
      <c r="C267">
        <v>2</v>
      </c>
      <c r="D267" t="s">
        <v>16</v>
      </c>
      <c r="E267" t="s">
        <v>22</v>
      </c>
      <c r="F267">
        <v>6.36</v>
      </c>
      <c r="G267">
        <v>34.11</v>
      </c>
      <c r="H267">
        <v>185.85</v>
      </c>
      <c r="I267">
        <v>106.58</v>
      </c>
      <c r="J267">
        <v>3.13</v>
      </c>
      <c r="K267">
        <v>4.3899999999999997</v>
      </c>
      <c r="L267">
        <v>1.07</v>
      </c>
      <c r="M267">
        <v>0</v>
      </c>
      <c r="N267">
        <v>0</v>
      </c>
      <c r="O267" t="s">
        <v>20</v>
      </c>
    </row>
    <row r="268" spans="1:15" x14ac:dyDescent="0.35">
      <c r="A268" t="s">
        <v>15</v>
      </c>
      <c r="B268">
        <v>2010</v>
      </c>
      <c r="C268">
        <v>3</v>
      </c>
      <c r="D268" t="s">
        <v>16</v>
      </c>
      <c r="E268" t="s">
        <v>22</v>
      </c>
      <c r="F268">
        <v>6.37</v>
      </c>
      <c r="G268">
        <v>65.06</v>
      </c>
      <c r="H268">
        <v>130.5</v>
      </c>
      <c r="I268">
        <v>226.5</v>
      </c>
      <c r="J268">
        <v>3.48</v>
      </c>
      <c r="K268">
        <v>4.47</v>
      </c>
      <c r="L268">
        <v>1.0900000000000001</v>
      </c>
      <c r="M268">
        <v>0</v>
      </c>
      <c r="N268">
        <v>0</v>
      </c>
      <c r="O268" t="s">
        <v>20</v>
      </c>
    </row>
    <row r="269" spans="1:15" x14ac:dyDescent="0.35">
      <c r="A269" t="s">
        <v>15</v>
      </c>
      <c r="B269">
        <v>2010</v>
      </c>
      <c r="C269">
        <v>17</v>
      </c>
      <c r="D269" t="s">
        <v>16</v>
      </c>
      <c r="E269" t="s">
        <v>24</v>
      </c>
      <c r="F269">
        <v>7.43</v>
      </c>
      <c r="G269">
        <v>50.58</v>
      </c>
      <c r="H269">
        <v>112.24</v>
      </c>
      <c r="I269">
        <v>201.93</v>
      </c>
      <c r="J269">
        <v>3.99</v>
      </c>
      <c r="K269">
        <v>7.03</v>
      </c>
      <c r="L269">
        <v>1.72</v>
      </c>
      <c r="M269">
        <v>1</v>
      </c>
      <c r="N269">
        <v>0</v>
      </c>
      <c r="O269" t="s">
        <v>20</v>
      </c>
    </row>
    <row r="270" spans="1:15" x14ac:dyDescent="0.35">
      <c r="A270" t="s">
        <v>15</v>
      </c>
      <c r="B270">
        <v>2010</v>
      </c>
      <c r="C270">
        <v>16</v>
      </c>
      <c r="D270" t="s">
        <v>16</v>
      </c>
      <c r="E270" t="s">
        <v>24</v>
      </c>
      <c r="F270">
        <v>7.88</v>
      </c>
      <c r="G270">
        <v>44.79</v>
      </c>
      <c r="H270">
        <v>173.56</v>
      </c>
      <c r="I270">
        <v>199.43</v>
      </c>
      <c r="J270">
        <v>4.45</v>
      </c>
      <c r="K270">
        <v>7.82</v>
      </c>
      <c r="L270">
        <v>1.91</v>
      </c>
      <c r="M270">
        <v>1</v>
      </c>
      <c r="N270">
        <v>0</v>
      </c>
      <c r="O270" t="s">
        <v>20</v>
      </c>
    </row>
    <row r="271" spans="1:15" x14ac:dyDescent="0.35">
      <c r="A271" t="s">
        <v>15</v>
      </c>
      <c r="B271">
        <v>2010</v>
      </c>
      <c r="C271">
        <v>6</v>
      </c>
      <c r="D271" t="s">
        <v>16</v>
      </c>
      <c r="E271" t="s">
        <v>22</v>
      </c>
      <c r="F271">
        <v>6.5</v>
      </c>
      <c r="G271">
        <v>53.06</v>
      </c>
      <c r="H271">
        <v>192.51</v>
      </c>
      <c r="I271">
        <v>146.29</v>
      </c>
      <c r="J271">
        <v>2.76</v>
      </c>
      <c r="K271">
        <v>5.35</v>
      </c>
      <c r="L271">
        <v>1.31</v>
      </c>
      <c r="M271">
        <v>1</v>
      </c>
      <c r="N271">
        <v>0</v>
      </c>
      <c r="O271" t="s">
        <v>20</v>
      </c>
    </row>
    <row r="272" spans="1:15" x14ac:dyDescent="0.35">
      <c r="A272" t="s">
        <v>15</v>
      </c>
      <c r="B272">
        <v>2010</v>
      </c>
      <c r="C272">
        <v>42</v>
      </c>
      <c r="D272" t="s">
        <v>16</v>
      </c>
      <c r="E272" t="s">
        <v>17</v>
      </c>
      <c r="F272">
        <v>8.92</v>
      </c>
      <c r="G272">
        <v>45.91</v>
      </c>
      <c r="H272">
        <v>135.47999999999999</v>
      </c>
      <c r="I272">
        <v>137.07</v>
      </c>
      <c r="J272">
        <v>2.99</v>
      </c>
      <c r="K272">
        <v>5.59</v>
      </c>
      <c r="L272">
        <v>1.37</v>
      </c>
      <c r="M272">
        <v>1</v>
      </c>
      <c r="N272">
        <v>0</v>
      </c>
      <c r="O272" t="s">
        <v>18</v>
      </c>
    </row>
    <row r="273" spans="1:15" x14ac:dyDescent="0.35">
      <c r="A273" t="s">
        <v>15</v>
      </c>
      <c r="B273">
        <v>2010</v>
      </c>
      <c r="C273">
        <v>78</v>
      </c>
      <c r="D273" t="s">
        <v>16</v>
      </c>
      <c r="E273" t="s">
        <v>19</v>
      </c>
      <c r="F273">
        <v>9.5299999999999994</v>
      </c>
      <c r="G273">
        <v>33.020000000000003</v>
      </c>
      <c r="H273">
        <v>183.16</v>
      </c>
      <c r="I273">
        <v>130.53</v>
      </c>
      <c r="J273">
        <v>3.95</v>
      </c>
      <c r="K273">
        <v>3.92</v>
      </c>
      <c r="L273">
        <v>0.96</v>
      </c>
      <c r="M273">
        <v>1</v>
      </c>
      <c r="N273">
        <v>0</v>
      </c>
      <c r="O273" t="s">
        <v>20</v>
      </c>
    </row>
    <row r="274" spans="1:15" x14ac:dyDescent="0.35">
      <c r="A274" t="s">
        <v>15</v>
      </c>
      <c r="B274">
        <v>2010</v>
      </c>
      <c r="C274">
        <v>20</v>
      </c>
      <c r="D274" t="s">
        <v>16</v>
      </c>
      <c r="E274" t="s">
        <v>17</v>
      </c>
      <c r="F274">
        <v>6.07</v>
      </c>
      <c r="G274">
        <v>39.81</v>
      </c>
      <c r="H274">
        <v>182.53</v>
      </c>
      <c r="I274">
        <v>128.56</v>
      </c>
      <c r="J274">
        <v>3.23</v>
      </c>
      <c r="K274">
        <v>7.8</v>
      </c>
      <c r="L274">
        <v>1.91</v>
      </c>
      <c r="M274">
        <v>0</v>
      </c>
      <c r="N274">
        <v>0</v>
      </c>
      <c r="O274" t="s">
        <v>20</v>
      </c>
    </row>
    <row r="275" spans="1:15" x14ac:dyDescent="0.35">
      <c r="A275" t="s">
        <v>15</v>
      </c>
      <c r="B275">
        <v>2010</v>
      </c>
      <c r="C275">
        <v>27</v>
      </c>
      <c r="D275" t="s">
        <v>16</v>
      </c>
      <c r="E275" t="s">
        <v>17</v>
      </c>
      <c r="F275">
        <v>6.89</v>
      </c>
      <c r="G275">
        <v>46.67</v>
      </c>
      <c r="H275">
        <v>160.85</v>
      </c>
      <c r="I275">
        <v>128.47</v>
      </c>
      <c r="J275">
        <v>2.75</v>
      </c>
      <c r="K275">
        <v>9.2100000000000009</v>
      </c>
      <c r="L275">
        <v>2.25</v>
      </c>
      <c r="M275">
        <v>1</v>
      </c>
      <c r="N275">
        <v>0</v>
      </c>
      <c r="O275" t="s">
        <v>20</v>
      </c>
    </row>
    <row r="276" spans="1:15" x14ac:dyDescent="0.35">
      <c r="A276" t="s">
        <v>15</v>
      </c>
      <c r="B276">
        <v>2010</v>
      </c>
      <c r="C276">
        <v>72</v>
      </c>
      <c r="D276" t="s">
        <v>16</v>
      </c>
      <c r="E276" t="s">
        <v>19</v>
      </c>
      <c r="F276">
        <v>6.69</v>
      </c>
      <c r="G276">
        <v>48.1</v>
      </c>
      <c r="H276">
        <v>158.44</v>
      </c>
      <c r="I276">
        <v>161.4</v>
      </c>
      <c r="J276">
        <v>3.36</v>
      </c>
      <c r="K276">
        <v>7.4</v>
      </c>
      <c r="L276">
        <v>1.81</v>
      </c>
      <c r="M276">
        <v>1</v>
      </c>
      <c r="N276">
        <v>0</v>
      </c>
      <c r="O276" t="s">
        <v>18</v>
      </c>
    </row>
    <row r="277" spans="1:15" x14ac:dyDescent="0.35">
      <c r="A277" t="s">
        <v>15</v>
      </c>
      <c r="B277">
        <v>2010</v>
      </c>
      <c r="C277">
        <v>34</v>
      </c>
      <c r="D277" t="s">
        <v>16</v>
      </c>
      <c r="E277" t="s">
        <v>17</v>
      </c>
      <c r="F277">
        <v>7.56</v>
      </c>
      <c r="G277">
        <v>37.61</v>
      </c>
      <c r="H277">
        <v>162.83000000000001</v>
      </c>
      <c r="I277">
        <v>184.21</v>
      </c>
      <c r="J277">
        <v>4.9000000000000004</v>
      </c>
      <c r="K277">
        <v>5.18</v>
      </c>
      <c r="L277">
        <v>1.27</v>
      </c>
      <c r="M277">
        <v>1</v>
      </c>
      <c r="N277">
        <v>0</v>
      </c>
      <c r="O277" t="s">
        <v>20</v>
      </c>
    </row>
    <row r="278" spans="1:15" x14ac:dyDescent="0.35">
      <c r="A278" t="s">
        <v>15</v>
      </c>
      <c r="B278">
        <v>2010</v>
      </c>
      <c r="C278">
        <v>82</v>
      </c>
      <c r="D278" t="s">
        <v>16</v>
      </c>
      <c r="E278" t="s">
        <v>19</v>
      </c>
      <c r="F278">
        <v>6.82</v>
      </c>
      <c r="G278">
        <v>46.85</v>
      </c>
      <c r="H278">
        <v>172.36</v>
      </c>
      <c r="I278">
        <v>191.6</v>
      </c>
      <c r="J278">
        <v>4.09</v>
      </c>
      <c r="K278">
        <v>8.9700000000000006</v>
      </c>
      <c r="L278">
        <v>2.19</v>
      </c>
      <c r="M278">
        <v>1</v>
      </c>
      <c r="N278">
        <v>0</v>
      </c>
      <c r="O278" t="s">
        <v>20</v>
      </c>
    </row>
    <row r="279" spans="1:15" x14ac:dyDescent="0.35">
      <c r="A279" t="s">
        <v>15</v>
      </c>
      <c r="B279">
        <v>2010</v>
      </c>
      <c r="C279">
        <v>43</v>
      </c>
      <c r="D279" t="s">
        <v>16</v>
      </c>
      <c r="E279" t="s">
        <v>17</v>
      </c>
      <c r="F279">
        <v>6.03</v>
      </c>
      <c r="G279">
        <v>47.84</v>
      </c>
      <c r="H279">
        <v>146.13</v>
      </c>
      <c r="I279">
        <v>295.08999999999997</v>
      </c>
      <c r="J279">
        <v>6.17</v>
      </c>
      <c r="K279">
        <v>9.0299999999999994</v>
      </c>
      <c r="L279">
        <v>2.21</v>
      </c>
      <c r="M279">
        <v>0</v>
      </c>
      <c r="N279">
        <v>0</v>
      </c>
      <c r="O279" t="s">
        <v>20</v>
      </c>
    </row>
    <row r="280" spans="1:15" x14ac:dyDescent="0.35">
      <c r="A280" t="s">
        <v>15</v>
      </c>
      <c r="B280">
        <v>2010</v>
      </c>
      <c r="C280">
        <v>44</v>
      </c>
      <c r="D280" t="s">
        <v>16</v>
      </c>
      <c r="E280" t="s">
        <v>17</v>
      </c>
      <c r="F280">
        <v>6.84</v>
      </c>
      <c r="G280">
        <v>51.89</v>
      </c>
      <c r="H280">
        <v>139.91</v>
      </c>
      <c r="I280">
        <v>117.05</v>
      </c>
      <c r="J280">
        <v>2.2599999999999998</v>
      </c>
      <c r="K280">
        <v>7.03</v>
      </c>
      <c r="L280">
        <v>1.72</v>
      </c>
      <c r="M280">
        <v>1</v>
      </c>
      <c r="N280">
        <v>0</v>
      </c>
      <c r="O280" t="s">
        <v>18</v>
      </c>
    </row>
    <row r="281" spans="1:15" x14ac:dyDescent="0.35">
      <c r="A281" t="s">
        <v>15</v>
      </c>
      <c r="B281">
        <v>2010</v>
      </c>
      <c r="C281">
        <v>20</v>
      </c>
      <c r="D281" t="s">
        <v>21</v>
      </c>
      <c r="E281" t="s">
        <v>17</v>
      </c>
      <c r="F281">
        <v>5.64</v>
      </c>
      <c r="G281">
        <v>55.06</v>
      </c>
      <c r="H281">
        <v>129.21</v>
      </c>
      <c r="I281">
        <v>93.84</v>
      </c>
      <c r="J281">
        <v>1.7</v>
      </c>
      <c r="K281">
        <v>10.01</v>
      </c>
      <c r="L281">
        <v>2.4500000000000002</v>
      </c>
      <c r="M281">
        <v>0</v>
      </c>
      <c r="N281">
        <v>0</v>
      </c>
      <c r="O281" t="s">
        <v>23</v>
      </c>
    </row>
    <row r="282" spans="1:15" x14ac:dyDescent="0.35">
      <c r="A282" t="s">
        <v>15</v>
      </c>
      <c r="B282">
        <v>2010</v>
      </c>
      <c r="C282">
        <v>43</v>
      </c>
      <c r="D282" t="s">
        <v>21</v>
      </c>
      <c r="E282" t="s">
        <v>17</v>
      </c>
      <c r="F282">
        <v>6.62</v>
      </c>
      <c r="G282">
        <v>39.07</v>
      </c>
      <c r="H282">
        <v>130.83000000000001</v>
      </c>
      <c r="I282">
        <v>191.28</v>
      </c>
      <c r="J282">
        <v>4.9000000000000004</v>
      </c>
      <c r="K282">
        <v>8.89</v>
      </c>
      <c r="L282">
        <v>2.17</v>
      </c>
      <c r="M282">
        <v>1</v>
      </c>
      <c r="N282">
        <v>0</v>
      </c>
      <c r="O282" t="s">
        <v>18</v>
      </c>
    </row>
    <row r="283" spans="1:15" x14ac:dyDescent="0.35">
      <c r="A283" t="s">
        <v>15</v>
      </c>
      <c r="B283">
        <v>2010</v>
      </c>
      <c r="C283">
        <v>69</v>
      </c>
      <c r="D283" t="s">
        <v>21</v>
      </c>
      <c r="E283" t="s">
        <v>19</v>
      </c>
      <c r="F283">
        <v>7.53</v>
      </c>
      <c r="G283">
        <v>40.880000000000003</v>
      </c>
      <c r="H283">
        <v>127.52</v>
      </c>
      <c r="I283">
        <v>197.16</v>
      </c>
      <c r="J283">
        <v>4.82</v>
      </c>
      <c r="K283">
        <v>8.58</v>
      </c>
      <c r="L283">
        <v>2.1</v>
      </c>
      <c r="M283">
        <v>1</v>
      </c>
      <c r="N283">
        <v>0</v>
      </c>
      <c r="O283" t="s">
        <v>23</v>
      </c>
    </row>
    <row r="284" spans="1:15" x14ac:dyDescent="0.35">
      <c r="A284" t="s">
        <v>15</v>
      </c>
      <c r="B284">
        <v>2010</v>
      </c>
      <c r="C284">
        <v>53</v>
      </c>
      <c r="D284" t="s">
        <v>21</v>
      </c>
      <c r="E284" t="s">
        <v>17</v>
      </c>
      <c r="F284">
        <v>6.82</v>
      </c>
      <c r="G284">
        <v>36.64</v>
      </c>
      <c r="H284">
        <v>140.69</v>
      </c>
      <c r="I284">
        <v>203.48</v>
      </c>
      <c r="J284">
        <v>5.55</v>
      </c>
      <c r="K284">
        <v>8.39</v>
      </c>
      <c r="L284">
        <v>2.0499999999999998</v>
      </c>
      <c r="M284">
        <v>1</v>
      </c>
      <c r="N284">
        <v>0</v>
      </c>
      <c r="O284" t="s">
        <v>20</v>
      </c>
    </row>
    <row r="285" spans="1:15" x14ac:dyDescent="0.35">
      <c r="A285" t="s">
        <v>15</v>
      </c>
      <c r="B285">
        <v>2010</v>
      </c>
      <c r="C285">
        <v>81</v>
      </c>
      <c r="D285" t="s">
        <v>21</v>
      </c>
      <c r="E285" t="s">
        <v>19</v>
      </c>
      <c r="F285">
        <v>7.06</v>
      </c>
      <c r="G285">
        <v>39.76</v>
      </c>
      <c r="H285">
        <v>133.61000000000001</v>
      </c>
      <c r="I285">
        <v>211.68</v>
      </c>
      <c r="J285">
        <v>5.32</v>
      </c>
      <c r="K285">
        <v>8.34</v>
      </c>
      <c r="L285">
        <v>2.04</v>
      </c>
      <c r="M285">
        <v>1</v>
      </c>
      <c r="N285">
        <v>0</v>
      </c>
      <c r="O285" t="s">
        <v>20</v>
      </c>
    </row>
    <row r="286" spans="1:15" x14ac:dyDescent="0.35">
      <c r="A286" t="s">
        <v>15</v>
      </c>
      <c r="B286">
        <v>2010</v>
      </c>
      <c r="C286">
        <v>9</v>
      </c>
      <c r="D286" t="s">
        <v>21</v>
      </c>
      <c r="E286" t="s">
        <v>22</v>
      </c>
      <c r="F286">
        <v>7.79</v>
      </c>
      <c r="G286">
        <v>34.14</v>
      </c>
      <c r="H286">
        <v>126.24</v>
      </c>
      <c r="I286">
        <v>169.18</v>
      </c>
      <c r="J286">
        <v>4.96</v>
      </c>
      <c r="K286">
        <v>7.77</v>
      </c>
      <c r="L286">
        <v>1.9</v>
      </c>
      <c r="M286">
        <v>1</v>
      </c>
      <c r="N286">
        <v>0</v>
      </c>
      <c r="O286" t="s">
        <v>23</v>
      </c>
    </row>
    <row r="287" spans="1:15" x14ac:dyDescent="0.35">
      <c r="A287" t="s">
        <v>15</v>
      </c>
      <c r="B287">
        <v>2010</v>
      </c>
      <c r="C287">
        <v>39</v>
      </c>
      <c r="D287" t="s">
        <v>16</v>
      </c>
      <c r="E287" t="s">
        <v>17</v>
      </c>
      <c r="F287">
        <v>7.73</v>
      </c>
      <c r="G287">
        <v>34.700000000000003</v>
      </c>
      <c r="H287">
        <v>130.72999999999999</v>
      </c>
      <c r="I287">
        <v>124.28</v>
      </c>
      <c r="J287">
        <v>3.58</v>
      </c>
      <c r="K287">
        <v>11.81</v>
      </c>
      <c r="L287">
        <v>2.89</v>
      </c>
      <c r="M287">
        <v>1</v>
      </c>
      <c r="N287">
        <v>1</v>
      </c>
      <c r="O287" t="s">
        <v>18</v>
      </c>
    </row>
    <row r="288" spans="1:15" x14ac:dyDescent="0.35">
      <c r="A288" t="s">
        <v>15</v>
      </c>
      <c r="B288">
        <v>2010</v>
      </c>
      <c r="C288">
        <v>44</v>
      </c>
      <c r="D288" t="s">
        <v>21</v>
      </c>
      <c r="E288" t="s">
        <v>17</v>
      </c>
      <c r="F288">
        <v>6.8</v>
      </c>
      <c r="G288">
        <v>41</v>
      </c>
      <c r="H288">
        <v>137.34</v>
      </c>
      <c r="I288">
        <v>165.79</v>
      </c>
      <c r="J288">
        <v>4.04</v>
      </c>
      <c r="K288">
        <v>7.43</v>
      </c>
      <c r="L288">
        <v>1.82</v>
      </c>
      <c r="M288">
        <v>1</v>
      </c>
      <c r="N288">
        <v>0</v>
      </c>
      <c r="O288" t="s">
        <v>18</v>
      </c>
    </row>
    <row r="289" spans="1:15" x14ac:dyDescent="0.35">
      <c r="A289" t="s">
        <v>15</v>
      </c>
      <c r="B289">
        <v>2010</v>
      </c>
      <c r="C289">
        <v>24</v>
      </c>
      <c r="D289" t="s">
        <v>16</v>
      </c>
      <c r="E289" t="s">
        <v>17</v>
      </c>
      <c r="F289">
        <v>7.69</v>
      </c>
      <c r="G289">
        <v>60.46</v>
      </c>
      <c r="H289">
        <v>151.18</v>
      </c>
      <c r="I289">
        <v>160.69999999999999</v>
      </c>
      <c r="J289">
        <v>2.66</v>
      </c>
      <c r="K289">
        <v>12.23</v>
      </c>
      <c r="L289">
        <v>2.99</v>
      </c>
      <c r="M289">
        <v>1</v>
      </c>
      <c r="N289">
        <v>1</v>
      </c>
      <c r="O289" t="s">
        <v>18</v>
      </c>
    </row>
    <row r="290" spans="1:15" x14ac:dyDescent="0.35">
      <c r="A290" t="s">
        <v>15</v>
      </c>
      <c r="B290">
        <v>2010</v>
      </c>
      <c r="C290">
        <v>34</v>
      </c>
      <c r="D290" t="s">
        <v>21</v>
      </c>
      <c r="E290" t="s">
        <v>17</v>
      </c>
      <c r="F290">
        <v>8.41</v>
      </c>
      <c r="G290">
        <v>34.74</v>
      </c>
      <c r="H290">
        <v>136.21</v>
      </c>
      <c r="I290">
        <v>224.28</v>
      </c>
      <c r="J290">
        <v>6.45</v>
      </c>
      <c r="K290">
        <v>7.17</v>
      </c>
      <c r="L290">
        <v>1.75</v>
      </c>
      <c r="M290">
        <v>1</v>
      </c>
      <c r="N290">
        <v>0</v>
      </c>
      <c r="O290" t="s">
        <v>20</v>
      </c>
    </row>
    <row r="291" spans="1:15" x14ac:dyDescent="0.35">
      <c r="A291" t="s">
        <v>15</v>
      </c>
      <c r="B291">
        <v>2010</v>
      </c>
      <c r="C291">
        <v>30</v>
      </c>
      <c r="D291" t="s">
        <v>21</v>
      </c>
      <c r="E291" t="s">
        <v>17</v>
      </c>
      <c r="F291">
        <v>5.95</v>
      </c>
      <c r="G291">
        <v>46.62</v>
      </c>
      <c r="H291">
        <v>151.63999999999999</v>
      </c>
      <c r="I291">
        <v>151.41999999999999</v>
      </c>
      <c r="J291">
        <v>3.25</v>
      </c>
      <c r="K291">
        <v>7.11</v>
      </c>
      <c r="L291">
        <v>1.74</v>
      </c>
      <c r="M291">
        <v>0</v>
      </c>
      <c r="N291">
        <v>0</v>
      </c>
      <c r="O291" t="s">
        <v>18</v>
      </c>
    </row>
    <row r="292" spans="1:15" x14ac:dyDescent="0.35">
      <c r="A292" t="s">
        <v>15</v>
      </c>
      <c r="B292">
        <v>2010</v>
      </c>
      <c r="C292">
        <v>58</v>
      </c>
      <c r="D292" t="s">
        <v>21</v>
      </c>
      <c r="E292" t="s">
        <v>17</v>
      </c>
      <c r="F292">
        <v>7.59</v>
      </c>
      <c r="G292">
        <v>41.59</v>
      </c>
      <c r="H292">
        <v>140.25</v>
      </c>
      <c r="I292">
        <v>256.99</v>
      </c>
      <c r="J292">
        <v>6.18</v>
      </c>
      <c r="K292">
        <v>6.25</v>
      </c>
      <c r="L292">
        <v>1.53</v>
      </c>
      <c r="M292">
        <v>1</v>
      </c>
      <c r="N292">
        <v>0</v>
      </c>
      <c r="O292" t="s">
        <v>20</v>
      </c>
    </row>
    <row r="293" spans="1:15" x14ac:dyDescent="0.35">
      <c r="A293" t="s">
        <v>15</v>
      </c>
      <c r="B293">
        <v>2010</v>
      </c>
      <c r="C293">
        <v>63</v>
      </c>
      <c r="D293" t="s">
        <v>21</v>
      </c>
      <c r="E293" t="s">
        <v>19</v>
      </c>
      <c r="F293">
        <v>7.56</v>
      </c>
      <c r="G293">
        <v>54.15</v>
      </c>
      <c r="H293">
        <v>144.44</v>
      </c>
      <c r="I293">
        <v>174.3</v>
      </c>
      <c r="J293">
        <v>3.22</v>
      </c>
      <c r="K293">
        <v>6.14</v>
      </c>
      <c r="L293">
        <v>1.5</v>
      </c>
      <c r="M293">
        <v>1</v>
      </c>
      <c r="N293">
        <v>0</v>
      </c>
      <c r="O293" t="s">
        <v>18</v>
      </c>
    </row>
    <row r="294" spans="1:15" x14ac:dyDescent="0.35">
      <c r="A294" t="s">
        <v>15</v>
      </c>
      <c r="B294">
        <v>2010</v>
      </c>
      <c r="C294">
        <v>6</v>
      </c>
      <c r="D294" t="s">
        <v>21</v>
      </c>
      <c r="E294" t="s">
        <v>22</v>
      </c>
      <c r="F294">
        <v>4.18</v>
      </c>
      <c r="G294">
        <v>58.39</v>
      </c>
      <c r="H294">
        <v>129.16999999999999</v>
      </c>
      <c r="I294">
        <v>152.71</v>
      </c>
      <c r="J294">
        <v>2.62</v>
      </c>
      <c r="K294">
        <v>5.88</v>
      </c>
      <c r="L294">
        <v>1.44</v>
      </c>
      <c r="M294">
        <v>0</v>
      </c>
      <c r="N294">
        <v>0</v>
      </c>
      <c r="O294" t="s">
        <v>23</v>
      </c>
    </row>
    <row r="295" spans="1:15" x14ac:dyDescent="0.35">
      <c r="A295" t="s">
        <v>15</v>
      </c>
      <c r="B295">
        <v>2010</v>
      </c>
      <c r="C295">
        <v>12</v>
      </c>
      <c r="D295" t="s">
        <v>21</v>
      </c>
      <c r="E295" t="s">
        <v>22</v>
      </c>
      <c r="F295">
        <v>8.94</v>
      </c>
      <c r="G295">
        <v>48.89</v>
      </c>
      <c r="H295">
        <v>98.25</v>
      </c>
      <c r="I295">
        <v>177.37</v>
      </c>
      <c r="J295">
        <v>3.63</v>
      </c>
      <c r="K295">
        <v>5.59</v>
      </c>
      <c r="L295">
        <v>1.37</v>
      </c>
      <c r="M295">
        <v>1</v>
      </c>
      <c r="N295">
        <v>0</v>
      </c>
      <c r="O295" t="s">
        <v>23</v>
      </c>
    </row>
    <row r="296" spans="1:15" x14ac:dyDescent="0.35">
      <c r="A296" t="s">
        <v>15</v>
      </c>
      <c r="B296">
        <v>2010</v>
      </c>
      <c r="C296">
        <v>40</v>
      </c>
      <c r="D296" t="s">
        <v>16</v>
      </c>
      <c r="E296" t="s">
        <v>17</v>
      </c>
      <c r="F296">
        <v>6.12</v>
      </c>
      <c r="G296">
        <v>34.340000000000003</v>
      </c>
      <c r="H296">
        <v>198.28</v>
      </c>
      <c r="I296">
        <v>175.72</v>
      </c>
      <c r="J296">
        <v>5.12</v>
      </c>
      <c r="K296">
        <v>13.81</v>
      </c>
      <c r="L296">
        <v>3.38</v>
      </c>
      <c r="M296">
        <v>0</v>
      </c>
      <c r="N296">
        <v>1</v>
      </c>
      <c r="O296" t="s">
        <v>20</v>
      </c>
    </row>
    <row r="297" spans="1:15" x14ac:dyDescent="0.35">
      <c r="A297" t="s">
        <v>15</v>
      </c>
      <c r="B297">
        <v>2010</v>
      </c>
      <c r="C297">
        <v>19</v>
      </c>
      <c r="D297" t="s">
        <v>21</v>
      </c>
      <c r="E297" t="s">
        <v>24</v>
      </c>
      <c r="F297">
        <v>7.08</v>
      </c>
      <c r="G297">
        <v>50.23</v>
      </c>
      <c r="H297">
        <v>170.8</v>
      </c>
      <c r="I297">
        <v>157.99</v>
      </c>
      <c r="J297">
        <v>3.15</v>
      </c>
      <c r="K297">
        <v>4.6399999999999997</v>
      </c>
      <c r="L297">
        <v>1.1299999999999999</v>
      </c>
      <c r="M297">
        <v>1</v>
      </c>
      <c r="N297">
        <v>0</v>
      </c>
      <c r="O297" t="s">
        <v>20</v>
      </c>
    </row>
    <row r="298" spans="1:15" x14ac:dyDescent="0.35">
      <c r="A298" t="s">
        <v>15</v>
      </c>
      <c r="B298">
        <v>2010</v>
      </c>
      <c r="C298">
        <v>83</v>
      </c>
      <c r="D298" t="s">
        <v>16</v>
      </c>
      <c r="E298" t="s">
        <v>19</v>
      </c>
      <c r="F298">
        <v>8.56</v>
      </c>
      <c r="G298">
        <v>19.66</v>
      </c>
      <c r="H298">
        <v>182.69</v>
      </c>
      <c r="I298">
        <v>288.16000000000003</v>
      </c>
      <c r="J298">
        <v>14.66</v>
      </c>
      <c r="K298">
        <v>14.14</v>
      </c>
      <c r="L298">
        <v>3.46</v>
      </c>
      <c r="M298">
        <v>1</v>
      </c>
      <c r="N298">
        <v>1</v>
      </c>
      <c r="O298" t="s">
        <v>20</v>
      </c>
    </row>
    <row r="299" spans="1:15" x14ac:dyDescent="0.35">
      <c r="A299" t="s">
        <v>15</v>
      </c>
      <c r="B299">
        <v>2010</v>
      </c>
      <c r="C299">
        <v>83</v>
      </c>
      <c r="D299" t="s">
        <v>16</v>
      </c>
      <c r="E299" t="s">
        <v>19</v>
      </c>
      <c r="F299">
        <v>7.72</v>
      </c>
      <c r="G299">
        <v>49.97</v>
      </c>
      <c r="H299">
        <v>126.91</v>
      </c>
      <c r="I299">
        <v>117.72</v>
      </c>
      <c r="J299">
        <v>2.36</v>
      </c>
      <c r="K299">
        <v>14.73</v>
      </c>
      <c r="L299">
        <v>3.6</v>
      </c>
      <c r="M299">
        <v>1</v>
      </c>
      <c r="N299">
        <v>1</v>
      </c>
      <c r="O299" t="s">
        <v>23</v>
      </c>
    </row>
    <row r="300" spans="1:15" x14ac:dyDescent="0.35">
      <c r="A300" t="s">
        <v>15</v>
      </c>
      <c r="B300">
        <v>2010</v>
      </c>
      <c r="C300">
        <v>55</v>
      </c>
      <c r="D300" t="s">
        <v>21</v>
      </c>
      <c r="E300" t="s">
        <v>17</v>
      </c>
      <c r="F300">
        <v>8.2899999999999991</v>
      </c>
      <c r="G300">
        <v>30.07</v>
      </c>
      <c r="H300">
        <v>157.47999999999999</v>
      </c>
      <c r="I300">
        <v>161.49</v>
      </c>
      <c r="J300">
        <v>5.37</v>
      </c>
      <c r="K300">
        <v>3.57</v>
      </c>
      <c r="L300">
        <v>0.87</v>
      </c>
      <c r="M300">
        <v>1</v>
      </c>
      <c r="N300">
        <v>0</v>
      </c>
      <c r="O300" t="s">
        <v>18</v>
      </c>
    </row>
    <row r="301" spans="1:15" x14ac:dyDescent="0.35">
      <c r="A301" t="s">
        <v>15</v>
      </c>
      <c r="B301">
        <v>2010</v>
      </c>
      <c r="C301">
        <v>78</v>
      </c>
      <c r="D301" t="s">
        <v>21</v>
      </c>
      <c r="E301" t="s">
        <v>19</v>
      </c>
      <c r="F301">
        <v>7.63</v>
      </c>
      <c r="G301">
        <v>46.18</v>
      </c>
      <c r="H301">
        <v>174.76</v>
      </c>
      <c r="I301">
        <v>202.9</v>
      </c>
      <c r="J301">
        <v>4.3899999999999997</v>
      </c>
      <c r="K301">
        <v>2.46</v>
      </c>
      <c r="L301">
        <v>0.6</v>
      </c>
      <c r="M301">
        <v>1</v>
      </c>
      <c r="N301">
        <v>0</v>
      </c>
      <c r="O301" t="s">
        <v>20</v>
      </c>
    </row>
    <row r="302" spans="1:15" x14ac:dyDescent="0.35">
      <c r="A302" t="s">
        <v>15</v>
      </c>
      <c r="B302">
        <v>2011</v>
      </c>
      <c r="C302">
        <v>85</v>
      </c>
      <c r="D302" t="s">
        <v>21</v>
      </c>
      <c r="E302" t="s">
        <v>19</v>
      </c>
      <c r="F302">
        <v>6.88</v>
      </c>
      <c r="G302">
        <v>34.67</v>
      </c>
      <c r="H302">
        <v>110.47</v>
      </c>
      <c r="I302">
        <v>174.25</v>
      </c>
      <c r="J302">
        <v>5.03</v>
      </c>
      <c r="K302">
        <v>11.52</v>
      </c>
      <c r="L302">
        <v>2.82</v>
      </c>
      <c r="M302">
        <v>1</v>
      </c>
      <c r="N302">
        <v>1</v>
      </c>
      <c r="O302" t="s">
        <v>23</v>
      </c>
    </row>
    <row r="303" spans="1:15" x14ac:dyDescent="0.35">
      <c r="A303" t="s">
        <v>15</v>
      </c>
      <c r="B303">
        <v>2011</v>
      </c>
      <c r="C303">
        <v>36</v>
      </c>
      <c r="D303" t="s">
        <v>21</v>
      </c>
      <c r="E303" t="s">
        <v>17</v>
      </c>
      <c r="F303">
        <v>6.46</v>
      </c>
      <c r="G303">
        <v>35.92</v>
      </c>
      <c r="H303">
        <v>142.78</v>
      </c>
      <c r="I303">
        <v>217.36</v>
      </c>
      <c r="J303">
        <v>6.05</v>
      </c>
      <c r="K303">
        <v>12.06</v>
      </c>
      <c r="L303">
        <v>2.95</v>
      </c>
      <c r="M303">
        <v>0</v>
      </c>
      <c r="N303">
        <v>1</v>
      </c>
      <c r="O303" t="s">
        <v>20</v>
      </c>
    </row>
    <row r="304" spans="1:15" x14ac:dyDescent="0.35">
      <c r="A304" t="s">
        <v>15</v>
      </c>
      <c r="B304">
        <v>2011</v>
      </c>
      <c r="C304">
        <v>71</v>
      </c>
      <c r="D304" t="s">
        <v>21</v>
      </c>
      <c r="E304" t="s">
        <v>19</v>
      </c>
      <c r="F304">
        <v>7.06</v>
      </c>
      <c r="G304">
        <v>31.7</v>
      </c>
      <c r="H304">
        <v>192.07</v>
      </c>
      <c r="I304">
        <v>106.28</v>
      </c>
      <c r="J304">
        <v>3.35</v>
      </c>
      <c r="K304">
        <v>13.21</v>
      </c>
      <c r="L304">
        <v>3.23</v>
      </c>
      <c r="M304">
        <v>1</v>
      </c>
      <c r="N304">
        <v>1</v>
      </c>
      <c r="O304" t="s">
        <v>20</v>
      </c>
    </row>
    <row r="305" spans="1:15" x14ac:dyDescent="0.35">
      <c r="A305" t="s">
        <v>15</v>
      </c>
      <c r="B305">
        <v>2011</v>
      </c>
      <c r="C305">
        <v>52</v>
      </c>
      <c r="D305" t="s">
        <v>21</v>
      </c>
      <c r="E305" t="s">
        <v>17</v>
      </c>
      <c r="F305">
        <v>8.36</v>
      </c>
      <c r="G305">
        <v>40.28</v>
      </c>
      <c r="H305">
        <v>102.37</v>
      </c>
      <c r="I305">
        <v>161.5</v>
      </c>
      <c r="J305">
        <v>4.01</v>
      </c>
      <c r="K305">
        <v>10.93</v>
      </c>
      <c r="L305">
        <v>2.67</v>
      </c>
      <c r="M305">
        <v>1</v>
      </c>
      <c r="N305">
        <v>1</v>
      </c>
      <c r="O305" t="s">
        <v>23</v>
      </c>
    </row>
    <row r="306" spans="1:15" x14ac:dyDescent="0.35">
      <c r="A306" t="s">
        <v>15</v>
      </c>
      <c r="B306">
        <v>2011</v>
      </c>
      <c r="C306">
        <v>40</v>
      </c>
      <c r="D306" t="s">
        <v>21</v>
      </c>
      <c r="E306" t="s">
        <v>17</v>
      </c>
      <c r="F306">
        <v>6.86</v>
      </c>
      <c r="G306">
        <v>33.54</v>
      </c>
      <c r="H306">
        <v>98.78</v>
      </c>
      <c r="I306">
        <v>234.52</v>
      </c>
      <c r="J306">
        <v>6.99</v>
      </c>
      <c r="K306">
        <v>10.61</v>
      </c>
      <c r="L306">
        <v>2.59</v>
      </c>
      <c r="M306">
        <v>1</v>
      </c>
      <c r="N306">
        <v>1</v>
      </c>
      <c r="O306" t="s">
        <v>20</v>
      </c>
    </row>
    <row r="307" spans="1:15" x14ac:dyDescent="0.35">
      <c r="A307" t="s">
        <v>15</v>
      </c>
      <c r="B307">
        <v>2011</v>
      </c>
      <c r="C307">
        <v>52</v>
      </c>
      <c r="D307" t="s">
        <v>16</v>
      </c>
      <c r="E307" t="s">
        <v>17</v>
      </c>
      <c r="F307">
        <v>6.76</v>
      </c>
      <c r="G307">
        <v>49.03</v>
      </c>
      <c r="H307">
        <v>120.03</v>
      </c>
      <c r="I307">
        <v>214.85</v>
      </c>
      <c r="J307">
        <v>4.38</v>
      </c>
      <c r="K307">
        <v>10.8</v>
      </c>
      <c r="L307">
        <v>2.64</v>
      </c>
      <c r="M307">
        <v>1</v>
      </c>
      <c r="N307">
        <v>1</v>
      </c>
      <c r="O307" t="s">
        <v>20</v>
      </c>
    </row>
    <row r="308" spans="1:15" x14ac:dyDescent="0.35">
      <c r="A308" t="s">
        <v>15</v>
      </c>
      <c r="B308">
        <v>2011</v>
      </c>
      <c r="C308">
        <v>35</v>
      </c>
      <c r="D308" t="s">
        <v>16</v>
      </c>
      <c r="E308" t="s">
        <v>17</v>
      </c>
      <c r="F308">
        <v>7.19</v>
      </c>
      <c r="G308">
        <v>42.07</v>
      </c>
      <c r="H308">
        <v>204.81</v>
      </c>
      <c r="I308">
        <v>101.08</v>
      </c>
      <c r="J308">
        <v>2.4</v>
      </c>
      <c r="K308">
        <v>7.75</v>
      </c>
      <c r="L308">
        <v>1.89</v>
      </c>
      <c r="M308">
        <v>1</v>
      </c>
      <c r="N308">
        <v>0</v>
      </c>
      <c r="O308" t="s">
        <v>20</v>
      </c>
    </row>
    <row r="309" spans="1:15" x14ac:dyDescent="0.35">
      <c r="A309" t="s">
        <v>15</v>
      </c>
      <c r="B309">
        <v>2011</v>
      </c>
      <c r="C309">
        <v>20</v>
      </c>
      <c r="D309" t="s">
        <v>16</v>
      </c>
      <c r="E309" t="s">
        <v>17</v>
      </c>
      <c r="F309">
        <v>7.41</v>
      </c>
      <c r="G309">
        <v>48.33</v>
      </c>
      <c r="H309">
        <v>143.68</v>
      </c>
      <c r="I309">
        <v>148.31</v>
      </c>
      <c r="J309">
        <v>3.07</v>
      </c>
      <c r="K309">
        <v>8.52</v>
      </c>
      <c r="L309">
        <v>2.08</v>
      </c>
      <c r="M309">
        <v>1</v>
      </c>
      <c r="N309">
        <v>0</v>
      </c>
      <c r="O309" t="s">
        <v>18</v>
      </c>
    </row>
    <row r="310" spans="1:15" x14ac:dyDescent="0.35">
      <c r="A310" t="s">
        <v>15</v>
      </c>
      <c r="B310">
        <v>2011</v>
      </c>
      <c r="C310">
        <v>55</v>
      </c>
      <c r="D310" t="s">
        <v>16</v>
      </c>
      <c r="E310" t="s">
        <v>17</v>
      </c>
      <c r="F310">
        <v>5.1100000000000003</v>
      </c>
      <c r="G310">
        <v>53.67</v>
      </c>
      <c r="H310">
        <v>116.15</v>
      </c>
      <c r="I310">
        <v>206.51</v>
      </c>
      <c r="J310">
        <v>3.85</v>
      </c>
      <c r="K310">
        <v>5.9</v>
      </c>
      <c r="L310">
        <v>1.44</v>
      </c>
      <c r="M310">
        <v>0</v>
      </c>
      <c r="N310">
        <v>0</v>
      </c>
      <c r="O310" t="s">
        <v>20</v>
      </c>
    </row>
    <row r="311" spans="1:15" x14ac:dyDescent="0.35">
      <c r="A311" t="s">
        <v>15</v>
      </c>
      <c r="B311">
        <v>2011</v>
      </c>
      <c r="C311">
        <v>29</v>
      </c>
      <c r="D311" t="s">
        <v>16</v>
      </c>
      <c r="E311" t="s">
        <v>17</v>
      </c>
      <c r="F311">
        <v>6.34</v>
      </c>
      <c r="G311">
        <v>30.99</v>
      </c>
      <c r="H311">
        <v>147.46</v>
      </c>
      <c r="I311">
        <v>206.91</v>
      </c>
      <c r="J311">
        <v>6.68</v>
      </c>
      <c r="K311">
        <v>5.7</v>
      </c>
      <c r="L311">
        <v>1.39</v>
      </c>
      <c r="M311">
        <v>0</v>
      </c>
      <c r="N311">
        <v>0</v>
      </c>
      <c r="O311" t="s">
        <v>20</v>
      </c>
    </row>
    <row r="312" spans="1:15" x14ac:dyDescent="0.35">
      <c r="A312" t="s">
        <v>15</v>
      </c>
      <c r="B312">
        <v>2011</v>
      </c>
      <c r="C312">
        <v>48</v>
      </c>
      <c r="D312" t="s">
        <v>16</v>
      </c>
      <c r="E312" t="s">
        <v>17</v>
      </c>
      <c r="F312">
        <v>6.88</v>
      </c>
      <c r="G312">
        <v>55.9</v>
      </c>
      <c r="H312">
        <v>140.71</v>
      </c>
      <c r="I312">
        <v>146.79</v>
      </c>
      <c r="J312">
        <v>2.63</v>
      </c>
      <c r="K312">
        <v>10.050000000000001</v>
      </c>
      <c r="L312">
        <v>2.46</v>
      </c>
      <c r="M312">
        <v>1</v>
      </c>
      <c r="N312">
        <v>0</v>
      </c>
      <c r="O312" t="s">
        <v>18</v>
      </c>
    </row>
    <row r="313" spans="1:15" x14ac:dyDescent="0.35">
      <c r="A313" t="s">
        <v>15</v>
      </c>
      <c r="B313">
        <v>2011</v>
      </c>
      <c r="C313">
        <v>68</v>
      </c>
      <c r="D313" t="s">
        <v>16</v>
      </c>
      <c r="E313" t="s">
        <v>19</v>
      </c>
      <c r="F313">
        <v>9.4700000000000006</v>
      </c>
      <c r="G313">
        <v>52.71</v>
      </c>
      <c r="H313">
        <v>153.43</v>
      </c>
      <c r="I313">
        <v>140.41</v>
      </c>
      <c r="J313">
        <v>2.66</v>
      </c>
      <c r="K313">
        <v>3.97</v>
      </c>
      <c r="L313">
        <v>0.97</v>
      </c>
      <c r="M313">
        <v>1</v>
      </c>
      <c r="N313">
        <v>0</v>
      </c>
      <c r="O313" t="s">
        <v>18</v>
      </c>
    </row>
    <row r="314" spans="1:15" x14ac:dyDescent="0.35">
      <c r="A314" t="s">
        <v>15</v>
      </c>
      <c r="B314">
        <v>2011</v>
      </c>
      <c r="C314">
        <v>27</v>
      </c>
      <c r="D314" t="s">
        <v>16</v>
      </c>
      <c r="E314" t="s">
        <v>17</v>
      </c>
      <c r="F314">
        <v>5.62</v>
      </c>
      <c r="G314">
        <v>44.6</v>
      </c>
      <c r="H314">
        <v>128.6</v>
      </c>
      <c r="I314">
        <v>215.26</v>
      </c>
      <c r="J314">
        <v>4.83</v>
      </c>
      <c r="K314">
        <v>6.35</v>
      </c>
      <c r="L314">
        <v>1.55</v>
      </c>
      <c r="M314">
        <v>0</v>
      </c>
      <c r="N314">
        <v>0</v>
      </c>
      <c r="O314" t="s">
        <v>20</v>
      </c>
    </row>
    <row r="315" spans="1:15" x14ac:dyDescent="0.35">
      <c r="A315" t="s">
        <v>15</v>
      </c>
      <c r="B315">
        <v>2011</v>
      </c>
      <c r="C315">
        <v>13</v>
      </c>
      <c r="D315" t="s">
        <v>16</v>
      </c>
      <c r="E315" t="s">
        <v>24</v>
      </c>
      <c r="F315">
        <v>7.05</v>
      </c>
      <c r="G315">
        <v>40.22</v>
      </c>
      <c r="H315">
        <v>165.47</v>
      </c>
      <c r="I315">
        <v>106.96</v>
      </c>
      <c r="J315">
        <v>2.66</v>
      </c>
      <c r="K315">
        <v>6.23</v>
      </c>
      <c r="L315">
        <v>1.52</v>
      </c>
      <c r="M315">
        <v>1</v>
      </c>
      <c r="N315">
        <v>0</v>
      </c>
      <c r="O315" t="s">
        <v>20</v>
      </c>
    </row>
    <row r="316" spans="1:15" x14ac:dyDescent="0.35">
      <c r="A316" t="s">
        <v>15</v>
      </c>
      <c r="B316">
        <v>2011</v>
      </c>
      <c r="C316">
        <v>13</v>
      </c>
      <c r="D316" t="s">
        <v>16</v>
      </c>
      <c r="E316" t="s">
        <v>24</v>
      </c>
      <c r="F316">
        <v>7.1</v>
      </c>
      <c r="G316">
        <v>60.35</v>
      </c>
      <c r="H316">
        <v>133.19999999999999</v>
      </c>
      <c r="I316">
        <v>212.9</v>
      </c>
      <c r="J316">
        <v>3.53</v>
      </c>
      <c r="K316">
        <v>7.56</v>
      </c>
      <c r="L316">
        <v>1.85</v>
      </c>
      <c r="M316">
        <v>1</v>
      </c>
      <c r="N316">
        <v>0</v>
      </c>
      <c r="O316" t="s">
        <v>20</v>
      </c>
    </row>
    <row r="317" spans="1:15" x14ac:dyDescent="0.35">
      <c r="A317" t="s">
        <v>15</v>
      </c>
      <c r="B317">
        <v>2011</v>
      </c>
      <c r="C317">
        <v>17</v>
      </c>
      <c r="D317" t="s">
        <v>16</v>
      </c>
      <c r="E317" t="s">
        <v>24</v>
      </c>
      <c r="F317">
        <v>5.1100000000000003</v>
      </c>
      <c r="G317">
        <v>54.47</v>
      </c>
      <c r="H317">
        <v>133.53</v>
      </c>
      <c r="I317">
        <v>204.02</v>
      </c>
      <c r="J317">
        <v>3.75</v>
      </c>
      <c r="K317">
        <v>6.49</v>
      </c>
      <c r="L317">
        <v>1.59</v>
      </c>
      <c r="M317">
        <v>0</v>
      </c>
      <c r="N317">
        <v>0</v>
      </c>
      <c r="O317" t="s">
        <v>20</v>
      </c>
    </row>
    <row r="318" spans="1:15" x14ac:dyDescent="0.35">
      <c r="A318" t="s">
        <v>15</v>
      </c>
      <c r="B318">
        <v>2011</v>
      </c>
      <c r="C318">
        <v>17</v>
      </c>
      <c r="D318" t="s">
        <v>16</v>
      </c>
      <c r="E318" t="s">
        <v>24</v>
      </c>
      <c r="F318">
        <v>8.6300000000000008</v>
      </c>
      <c r="G318">
        <v>44.66</v>
      </c>
      <c r="H318">
        <v>160.63999999999999</v>
      </c>
      <c r="I318">
        <v>215.14</v>
      </c>
      <c r="J318">
        <v>4.82</v>
      </c>
      <c r="K318">
        <v>5.01</v>
      </c>
      <c r="L318">
        <v>1.22</v>
      </c>
      <c r="M318">
        <v>1</v>
      </c>
      <c r="N318">
        <v>0</v>
      </c>
      <c r="O318" t="s">
        <v>20</v>
      </c>
    </row>
    <row r="319" spans="1:15" x14ac:dyDescent="0.35">
      <c r="A319" t="s">
        <v>15</v>
      </c>
      <c r="B319">
        <v>2011</v>
      </c>
      <c r="C319">
        <v>63</v>
      </c>
      <c r="D319" t="s">
        <v>16</v>
      </c>
      <c r="E319" t="s">
        <v>19</v>
      </c>
      <c r="F319">
        <v>6.68</v>
      </c>
      <c r="G319">
        <v>49.83</v>
      </c>
      <c r="H319">
        <v>144.1</v>
      </c>
      <c r="I319">
        <v>199.5</v>
      </c>
      <c r="J319">
        <v>4</v>
      </c>
      <c r="K319">
        <v>9.39</v>
      </c>
      <c r="L319">
        <v>2.2999999999999998</v>
      </c>
      <c r="M319">
        <v>1</v>
      </c>
      <c r="N319">
        <v>0</v>
      </c>
      <c r="O319" t="s">
        <v>18</v>
      </c>
    </row>
    <row r="320" spans="1:15" x14ac:dyDescent="0.35">
      <c r="A320" t="s">
        <v>15</v>
      </c>
      <c r="B320">
        <v>2011</v>
      </c>
      <c r="C320">
        <v>81</v>
      </c>
      <c r="D320" t="s">
        <v>16</v>
      </c>
      <c r="E320" t="s">
        <v>19</v>
      </c>
      <c r="F320">
        <v>8.32</v>
      </c>
      <c r="G320">
        <v>40.96</v>
      </c>
      <c r="H320">
        <v>151.22999999999999</v>
      </c>
      <c r="I320">
        <v>197.22</v>
      </c>
      <c r="J320">
        <v>4.82</v>
      </c>
      <c r="K320">
        <v>8.4</v>
      </c>
      <c r="L320">
        <v>2.0499999999999998</v>
      </c>
      <c r="M320">
        <v>1</v>
      </c>
      <c r="N320">
        <v>0</v>
      </c>
      <c r="O320" t="s">
        <v>18</v>
      </c>
    </row>
    <row r="321" spans="1:15" x14ac:dyDescent="0.35">
      <c r="A321" t="s">
        <v>15</v>
      </c>
      <c r="B321">
        <v>2011</v>
      </c>
      <c r="C321">
        <v>32</v>
      </c>
      <c r="D321" t="s">
        <v>16</v>
      </c>
      <c r="E321" t="s">
        <v>17</v>
      </c>
      <c r="F321">
        <v>6.83</v>
      </c>
      <c r="G321">
        <v>34.799999999999997</v>
      </c>
      <c r="H321">
        <v>159.12</v>
      </c>
      <c r="I321">
        <v>129.61000000000001</v>
      </c>
      <c r="J321">
        <v>3.72</v>
      </c>
      <c r="K321">
        <v>5.84</v>
      </c>
      <c r="L321">
        <v>1.43</v>
      </c>
      <c r="M321">
        <v>1</v>
      </c>
      <c r="N321">
        <v>0</v>
      </c>
      <c r="O321" t="s">
        <v>18</v>
      </c>
    </row>
    <row r="322" spans="1:15" x14ac:dyDescent="0.35">
      <c r="A322" t="s">
        <v>15</v>
      </c>
      <c r="B322">
        <v>2011</v>
      </c>
      <c r="C322">
        <v>51</v>
      </c>
      <c r="D322" t="s">
        <v>16</v>
      </c>
      <c r="E322" t="s">
        <v>17</v>
      </c>
      <c r="F322">
        <v>7.28</v>
      </c>
      <c r="G322">
        <v>40.89</v>
      </c>
      <c r="H322">
        <v>167.2</v>
      </c>
      <c r="I322">
        <v>117.89</v>
      </c>
      <c r="J322">
        <v>2.88</v>
      </c>
      <c r="K322">
        <v>10.08</v>
      </c>
      <c r="L322">
        <v>2.4700000000000002</v>
      </c>
      <c r="M322">
        <v>1</v>
      </c>
      <c r="N322">
        <v>0</v>
      </c>
      <c r="O322" t="s">
        <v>20</v>
      </c>
    </row>
    <row r="323" spans="1:15" x14ac:dyDescent="0.35">
      <c r="A323" t="s">
        <v>15</v>
      </c>
      <c r="B323">
        <v>2011</v>
      </c>
      <c r="C323">
        <v>76</v>
      </c>
      <c r="D323" t="s">
        <v>16</v>
      </c>
      <c r="E323" t="s">
        <v>19</v>
      </c>
      <c r="F323">
        <v>8.98</v>
      </c>
      <c r="G323">
        <v>31.77</v>
      </c>
      <c r="H323">
        <v>173.73</v>
      </c>
      <c r="I323">
        <v>171.41</v>
      </c>
      <c r="J323">
        <v>5.4</v>
      </c>
      <c r="K323">
        <v>5.88</v>
      </c>
      <c r="L323">
        <v>1.44</v>
      </c>
      <c r="M323">
        <v>1</v>
      </c>
      <c r="N323">
        <v>0</v>
      </c>
      <c r="O323" t="s">
        <v>20</v>
      </c>
    </row>
    <row r="324" spans="1:15" x14ac:dyDescent="0.35">
      <c r="A324" t="s">
        <v>15</v>
      </c>
      <c r="B324">
        <v>2011</v>
      </c>
      <c r="C324">
        <v>48</v>
      </c>
      <c r="D324" t="s">
        <v>16</v>
      </c>
      <c r="E324" t="s">
        <v>17</v>
      </c>
      <c r="F324">
        <v>8.14</v>
      </c>
      <c r="G324">
        <v>45.83</v>
      </c>
      <c r="H324">
        <v>152.87</v>
      </c>
      <c r="I324">
        <v>260.92</v>
      </c>
      <c r="J324">
        <v>5.69</v>
      </c>
      <c r="K324">
        <v>9.6300000000000008</v>
      </c>
      <c r="L324">
        <v>2.35</v>
      </c>
      <c r="M324">
        <v>1</v>
      </c>
      <c r="N324">
        <v>0</v>
      </c>
      <c r="O324" t="s">
        <v>20</v>
      </c>
    </row>
    <row r="325" spans="1:15" x14ac:dyDescent="0.35">
      <c r="A325" t="s">
        <v>15</v>
      </c>
      <c r="B325">
        <v>2011</v>
      </c>
      <c r="C325">
        <v>75</v>
      </c>
      <c r="D325" t="s">
        <v>16</v>
      </c>
      <c r="E325" t="s">
        <v>19</v>
      </c>
      <c r="F325">
        <v>7.49</v>
      </c>
      <c r="G325">
        <v>54.19</v>
      </c>
      <c r="H325">
        <v>164.1</v>
      </c>
      <c r="I325">
        <v>277.29000000000002</v>
      </c>
      <c r="J325">
        <v>5.12</v>
      </c>
      <c r="K325">
        <v>9.65</v>
      </c>
      <c r="L325">
        <v>2.36</v>
      </c>
      <c r="M325">
        <v>1</v>
      </c>
      <c r="N325">
        <v>0</v>
      </c>
      <c r="O325" t="s">
        <v>20</v>
      </c>
    </row>
    <row r="326" spans="1:15" x14ac:dyDescent="0.35">
      <c r="A326" t="s">
        <v>15</v>
      </c>
      <c r="B326">
        <v>2011</v>
      </c>
      <c r="C326">
        <v>34</v>
      </c>
      <c r="D326" t="s">
        <v>16</v>
      </c>
      <c r="E326" t="s">
        <v>17</v>
      </c>
      <c r="F326">
        <v>7.02</v>
      </c>
      <c r="G326">
        <v>39.880000000000003</v>
      </c>
      <c r="H326">
        <v>189.86</v>
      </c>
      <c r="I326">
        <v>167.89</v>
      </c>
      <c r="J326">
        <v>4.21</v>
      </c>
      <c r="K326">
        <v>8.18</v>
      </c>
      <c r="L326">
        <v>2</v>
      </c>
      <c r="M326">
        <v>1</v>
      </c>
      <c r="N326">
        <v>0</v>
      </c>
      <c r="O326" t="s">
        <v>20</v>
      </c>
    </row>
    <row r="327" spans="1:15" x14ac:dyDescent="0.35">
      <c r="A327" t="s">
        <v>15</v>
      </c>
      <c r="B327">
        <v>2011</v>
      </c>
      <c r="C327">
        <v>42</v>
      </c>
      <c r="D327" t="s">
        <v>16</v>
      </c>
      <c r="E327" t="s">
        <v>17</v>
      </c>
      <c r="F327">
        <v>7.38</v>
      </c>
      <c r="G327">
        <v>45.72</v>
      </c>
      <c r="H327">
        <v>114.72</v>
      </c>
      <c r="I327">
        <v>309.56</v>
      </c>
      <c r="J327">
        <v>6.77</v>
      </c>
      <c r="K327">
        <v>8.6300000000000008</v>
      </c>
      <c r="L327">
        <v>2.11</v>
      </c>
      <c r="M327">
        <v>1</v>
      </c>
      <c r="N327">
        <v>0</v>
      </c>
      <c r="O327" t="s">
        <v>20</v>
      </c>
    </row>
    <row r="328" spans="1:15" x14ac:dyDescent="0.35">
      <c r="A328" t="s">
        <v>15</v>
      </c>
      <c r="B328">
        <v>2011</v>
      </c>
      <c r="C328">
        <v>25</v>
      </c>
      <c r="D328" t="s">
        <v>16</v>
      </c>
      <c r="E328" t="s">
        <v>17</v>
      </c>
      <c r="F328">
        <v>5.86</v>
      </c>
      <c r="G328">
        <v>51.02</v>
      </c>
      <c r="H328">
        <v>174.12</v>
      </c>
      <c r="I328">
        <v>100.37</v>
      </c>
      <c r="J328">
        <v>1.97</v>
      </c>
      <c r="K328">
        <v>7.65</v>
      </c>
      <c r="L328">
        <v>1.87</v>
      </c>
      <c r="M328">
        <v>0</v>
      </c>
      <c r="N328">
        <v>0</v>
      </c>
      <c r="O328" t="s">
        <v>20</v>
      </c>
    </row>
    <row r="329" spans="1:15" x14ac:dyDescent="0.35">
      <c r="A329" t="s">
        <v>15</v>
      </c>
      <c r="B329">
        <v>2011</v>
      </c>
      <c r="C329">
        <v>7</v>
      </c>
      <c r="D329" t="s">
        <v>16</v>
      </c>
      <c r="E329" t="s">
        <v>22</v>
      </c>
      <c r="F329">
        <v>5.62</v>
      </c>
      <c r="G329">
        <v>60.13</v>
      </c>
      <c r="H329">
        <v>164.01</v>
      </c>
      <c r="I329">
        <v>76.19</v>
      </c>
      <c r="J329">
        <v>1.27</v>
      </c>
      <c r="K329">
        <v>9.82</v>
      </c>
      <c r="L329">
        <v>2.4</v>
      </c>
      <c r="M329">
        <v>0</v>
      </c>
      <c r="N329">
        <v>0</v>
      </c>
      <c r="O329" t="s">
        <v>20</v>
      </c>
    </row>
    <row r="330" spans="1:15" x14ac:dyDescent="0.35">
      <c r="A330" t="s">
        <v>15</v>
      </c>
      <c r="B330">
        <v>2011</v>
      </c>
      <c r="C330">
        <v>40</v>
      </c>
      <c r="D330" t="s">
        <v>21</v>
      </c>
      <c r="E330" t="s">
        <v>17</v>
      </c>
      <c r="F330">
        <v>8.51</v>
      </c>
      <c r="G330">
        <v>48.93</v>
      </c>
      <c r="H330">
        <v>136.57</v>
      </c>
      <c r="I330">
        <v>147.44</v>
      </c>
      <c r="J330">
        <v>3.01</v>
      </c>
      <c r="K330">
        <v>9.19</v>
      </c>
      <c r="L330">
        <v>2.25</v>
      </c>
      <c r="M330">
        <v>1</v>
      </c>
      <c r="N330">
        <v>0</v>
      </c>
      <c r="O330" t="s">
        <v>18</v>
      </c>
    </row>
    <row r="331" spans="1:15" x14ac:dyDescent="0.35">
      <c r="A331" t="s">
        <v>15</v>
      </c>
      <c r="B331">
        <v>2011</v>
      </c>
      <c r="C331">
        <v>33</v>
      </c>
      <c r="D331" t="s">
        <v>21</v>
      </c>
      <c r="E331" t="s">
        <v>17</v>
      </c>
      <c r="F331">
        <v>7.18</v>
      </c>
      <c r="G331">
        <v>33.869999999999997</v>
      </c>
      <c r="H331">
        <v>147.68</v>
      </c>
      <c r="I331">
        <v>205.74</v>
      </c>
      <c r="J331">
        <v>6.07</v>
      </c>
      <c r="K331">
        <v>9.16</v>
      </c>
      <c r="L331">
        <v>2.2400000000000002</v>
      </c>
      <c r="M331">
        <v>1</v>
      </c>
      <c r="N331">
        <v>0</v>
      </c>
      <c r="O331" t="s">
        <v>20</v>
      </c>
    </row>
    <row r="332" spans="1:15" x14ac:dyDescent="0.35">
      <c r="A332" t="s">
        <v>15</v>
      </c>
      <c r="B332">
        <v>2011</v>
      </c>
      <c r="C332">
        <v>22</v>
      </c>
      <c r="D332" t="s">
        <v>21</v>
      </c>
      <c r="E332" t="s">
        <v>17</v>
      </c>
      <c r="F332">
        <v>5.99</v>
      </c>
      <c r="G332">
        <v>33.369999999999997</v>
      </c>
      <c r="H332">
        <v>137.80000000000001</v>
      </c>
      <c r="I332">
        <v>131.35</v>
      </c>
      <c r="J332">
        <v>3.94</v>
      </c>
      <c r="K332">
        <v>8.85</v>
      </c>
      <c r="L332">
        <v>2.16</v>
      </c>
      <c r="M332">
        <v>0</v>
      </c>
      <c r="N332">
        <v>0</v>
      </c>
      <c r="O332" t="s">
        <v>18</v>
      </c>
    </row>
    <row r="333" spans="1:15" x14ac:dyDescent="0.35">
      <c r="A333" t="s">
        <v>15</v>
      </c>
      <c r="B333">
        <v>2011</v>
      </c>
      <c r="C333">
        <v>81</v>
      </c>
      <c r="D333" t="s">
        <v>21</v>
      </c>
      <c r="E333" t="s">
        <v>19</v>
      </c>
      <c r="F333">
        <v>8.61</v>
      </c>
      <c r="G333">
        <v>41.94</v>
      </c>
      <c r="H333">
        <v>179.42</v>
      </c>
      <c r="I333">
        <v>105.42</v>
      </c>
      <c r="J333">
        <v>2.5099999999999998</v>
      </c>
      <c r="K333">
        <v>8.58</v>
      </c>
      <c r="L333">
        <v>2.1</v>
      </c>
      <c r="M333">
        <v>1</v>
      </c>
      <c r="N333">
        <v>0</v>
      </c>
      <c r="O333" t="s">
        <v>20</v>
      </c>
    </row>
    <row r="334" spans="1:15" x14ac:dyDescent="0.35">
      <c r="A334" t="s">
        <v>15</v>
      </c>
      <c r="B334">
        <v>2011</v>
      </c>
      <c r="C334">
        <v>26</v>
      </c>
      <c r="D334" t="s">
        <v>21</v>
      </c>
      <c r="E334" t="s">
        <v>17</v>
      </c>
      <c r="F334">
        <v>6.24</v>
      </c>
      <c r="G334">
        <v>29.78</v>
      </c>
      <c r="H334">
        <v>165.26</v>
      </c>
      <c r="I334">
        <v>247.34</v>
      </c>
      <c r="J334">
        <v>8.31</v>
      </c>
      <c r="K334">
        <v>8.57</v>
      </c>
      <c r="L334">
        <v>2.09</v>
      </c>
      <c r="M334">
        <v>0</v>
      </c>
      <c r="N334">
        <v>0</v>
      </c>
      <c r="O334" t="s">
        <v>20</v>
      </c>
    </row>
    <row r="335" spans="1:15" x14ac:dyDescent="0.35">
      <c r="A335" t="s">
        <v>15</v>
      </c>
      <c r="B335">
        <v>2011</v>
      </c>
      <c r="C335">
        <v>49</v>
      </c>
      <c r="D335" t="s">
        <v>21</v>
      </c>
      <c r="E335" t="s">
        <v>17</v>
      </c>
      <c r="F335">
        <v>7.82</v>
      </c>
      <c r="G335">
        <v>56.47</v>
      </c>
      <c r="H335">
        <v>128.88999999999999</v>
      </c>
      <c r="I335">
        <v>258.66000000000003</v>
      </c>
      <c r="J335">
        <v>4.58</v>
      </c>
      <c r="K335">
        <v>8.34</v>
      </c>
      <c r="L335">
        <v>2.04</v>
      </c>
      <c r="M335">
        <v>1</v>
      </c>
      <c r="N335">
        <v>0</v>
      </c>
      <c r="O335" t="s">
        <v>20</v>
      </c>
    </row>
    <row r="336" spans="1:15" x14ac:dyDescent="0.35">
      <c r="A336" t="s">
        <v>15</v>
      </c>
      <c r="B336">
        <v>2011</v>
      </c>
      <c r="C336">
        <v>12</v>
      </c>
      <c r="D336" t="s">
        <v>21</v>
      </c>
      <c r="E336" t="s">
        <v>22</v>
      </c>
      <c r="F336">
        <v>4.51</v>
      </c>
      <c r="G336">
        <v>55.99</v>
      </c>
      <c r="H336">
        <v>152.12</v>
      </c>
      <c r="I336">
        <v>156.78</v>
      </c>
      <c r="J336">
        <v>2.8</v>
      </c>
      <c r="K336">
        <v>8.3000000000000007</v>
      </c>
      <c r="L336">
        <v>2.0299999999999998</v>
      </c>
      <c r="M336">
        <v>0</v>
      </c>
      <c r="N336">
        <v>0</v>
      </c>
      <c r="O336" t="s">
        <v>18</v>
      </c>
    </row>
    <row r="337" spans="1:15" x14ac:dyDescent="0.35">
      <c r="A337" t="s">
        <v>15</v>
      </c>
      <c r="B337">
        <v>2011</v>
      </c>
      <c r="C337">
        <v>47</v>
      </c>
      <c r="D337" t="s">
        <v>21</v>
      </c>
      <c r="E337" t="s">
        <v>17</v>
      </c>
      <c r="F337">
        <v>8.24</v>
      </c>
      <c r="G337">
        <v>45.5</v>
      </c>
      <c r="H337">
        <v>78.03</v>
      </c>
      <c r="I337">
        <v>185.32</v>
      </c>
      <c r="J337">
        <v>4.07</v>
      </c>
      <c r="K337">
        <v>8.08</v>
      </c>
      <c r="L337">
        <v>1.97</v>
      </c>
      <c r="M337">
        <v>1</v>
      </c>
      <c r="N337">
        <v>0</v>
      </c>
      <c r="O337" t="s">
        <v>23</v>
      </c>
    </row>
    <row r="338" spans="1:15" x14ac:dyDescent="0.35">
      <c r="A338" t="s">
        <v>15</v>
      </c>
      <c r="B338">
        <v>2011</v>
      </c>
      <c r="C338">
        <v>17</v>
      </c>
      <c r="D338" t="s">
        <v>21</v>
      </c>
      <c r="E338" t="s">
        <v>24</v>
      </c>
      <c r="F338">
        <v>5.49</v>
      </c>
      <c r="G338">
        <v>49.67</v>
      </c>
      <c r="H338">
        <v>102.88</v>
      </c>
      <c r="I338">
        <v>239.66</v>
      </c>
      <c r="J338">
        <v>4.83</v>
      </c>
      <c r="K338">
        <v>8.02</v>
      </c>
      <c r="L338">
        <v>1.96</v>
      </c>
      <c r="M338">
        <v>0</v>
      </c>
      <c r="N338">
        <v>0</v>
      </c>
      <c r="O338" t="s">
        <v>20</v>
      </c>
    </row>
    <row r="339" spans="1:15" x14ac:dyDescent="0.35">
      <c r="A339" t="s">
        <v>15</v>
      </c>
      <c r="B339">
        <v>2011</v>
      </c>
      <c r="C339">
        <v>50</v>
      </c>
      <c r="D339" t="s">
        <v>21</v>
      </c>
      <c r="E339" t="s">
        <v>17</v>
      </c>
      <c r="F339">
        <v>8.18</v>
      </c>
      <c r="G339">
        <v>51.29</v>
      </c>
      <c r="H339">
        <v>123.23</v>
      </c>
      <c r="I339">
        <v>129.76</v>
      </c>
      <c r="J339">
        <v>2.5299999999999998</v>
      </c>
      <c r="K339">
        <v>7.94</v>
      </c>
      <c r="L339">
        <v>1.94</v>
      </c>
      <c r="M339">
        <v>1</v>
      </c>
      <c r="N339">
        <v>0</v>
      </c>
      <c r="O339" t="s">
        <v>23</v>
      </c>
    </row>
    <row r="340" spans="1:15" x14ac:dyDescent="0.35">
      <c r="A340" t="s">
        <v>15</v>
      </c>
      <c r="B340">
        <v>2011</v>
      </c>
      <c r="C340">
        <v>59</v>
      </c>
      <c r="D340" t="s">
        <v>21</v>
      </c>
      <c r="E340" t="s">
        <v>17</v>
      </c>
      <c r="F340">
        <v>8.06</v>
      </c>
      <c r="G340">
        <v>35.92</v>
      </c>
      <c r="H340">
        <v>118.66</v>
      </c>
      <c r="I340">
        <v>219.76</v>
      </c>
      <c r="J340">
        <v>6.12</v>
      </c>
      <c r="K340">
        <v>7.51</v>
      </c>
      <c r="L340">
        <v>1.84</v>
      </c>
      <c r="M340">
        <v>1</v>
      </c>
      <c r="N340">
        <v>0</v>
      </c>
      <c r="O340" t="s">
        <v>20</v>
      </c>
    </row>
    <row r="341" spans="1:15" x14ac:dyDescent="0.35">
      <c r="A341" t="s">
        <v>15</v>
      </c>
      <c r="B341">
        <v>2011</v>
      </c>
      <c r="C341">
        <v>28</v>
      </c>
      <c r="D341" t="s">
        <v>21</v>
      </c>
      <c r="E341" t="s">
        <v>17</v>
      </c>
      <c r="F341">
        <v>7.16</v>
      </c>
      <c r="G341">
        <v>48.03</v>
      </c>
      <c r="H341">
        <v>161.32</v>
      </c>
      <c r="I341">
        <v>218.5</v>
      </c>
      <c r="J341">
        <v>4.55</v>
      </c>
      <c r="K341">
        <v>7.4</v>
      </c>
      <c r="L341">
        <v>1.81</v>
      </c>
      <c r="M341">
        <v>1</v>
      </c>
      <c r="N341">
        <v>0</v>
      </c>
      <c r="O341" t="s">
        <v>20</v>
      </c>
    </row>
    <row r="342" spans="1:15" x14ac:dyDescent="0.35">
      <c r="A342" t="s">
        <v>15</v>
      </c>
      <c r="B342">
        <v>2011</v>
      </c>
      <c r="C342">
        <v>72</v>
      </c>
      <c r="D342" t="s">
        <v>16</v>
      </c>
      <c r="E342" t="s">
        <v>19</v>
      </c>
      <c r="F342">
        <v>7.54</v>
      </c>
      <c r="G342">
        <v>48.51</v>
      </c>
      <c r="H342">
        <v>137.36000000000001</v>
      </c>
      <c r="I342">
        <v>226.56</v>
      </c>
      <c r="J342">
        <v>4.67</v>
      </c>
      <c r="K342">
        <v>12.2</v>
      </c>
      <c r="L342">
        <v>2.98</v>
      </c>
      <c r="M342">
        <v>1</v>
      </c>
      <c r="N342">
        <v>1</v>
      </c>
      <c r="O342" t="s">
        <v>20</v>
      </c>
    </row>
    <row r="343" spans="1:15" x14ac:dyDescent="0.35">
      <c r="A343" t="s">
        <v>15</v>
      </c>
      <c r="B343">
        <v>2011</v>
      </c>
      <c r="C343">
        <v>60</v>
      </c>
      <c r="D343" t="s">
        <v>21</v>
      </c>
      <c r="E343" t="s">
        <v>19</v>
      </c>
      <c r="F343">
        <v>7.73</v>
      </c>
      <c r="G343">
        <v>45.25</v>
      </c>
      <c r="H343">
        <v>166.57</v>
      </c>
      <c r="I343">
        <v>166.23</v>
      </c>
      <c r="J343">
        <v>3.67</v>
      </c>
      <c r="K343">
        <v>6.95</v>
      </c>
      <c r="L343">
        <v>1.7</v>
      </c>
      <c r="M343">
        <v>1</v>
      </c>
      <c r="N343">
        <v>0</v>
      </c>
      <c r="O343" t="s">
        <v>20</v>
      </c>
    </row>
    <row r="344" spans="1:15" x14ac:dyDescent="0.35">
      <c r="A344" t="s">
        <v>15</v>
      </c>
      <c r="B344">
        <v>2011</v>
      </c>
      <c r="C344">
        <v>68</v>
      </c>
      <c r="D344" t="s">
        <v>16</v>
      </c>
      <c r="E344" t="s">
        <v>19</v>
      </c>
      <c r="F344">
        <v>6.44</v>
      </c>
      <c r="G344">
        <v>42.36</v>
      </c>
      <c r="H344">
        <v>103</v>
      </c>
      <c r="I344">
        <v>236.69</v>
      </c>
      <c r="J344">
        <v>5.59</v>
      </c>
      <c r="K344">
        <v>12.42</v>
      </c>
      <c r="L344">
        <v>3.04</v>
      </c>
      <c r="M344">
        <v>0</v>
      </c>
      <c r="N344">
        <v>1</v>
      </c>
      <c r="O344" t="s">
        <v>20</v>
      </c>
    </row>
    <row r="345" spans="1:15" x14ac:dyDescent="0.35">
      <c r="A345" t="s">
        <v>15</v>
      </c>
      <c r="B345">
        <v>2011</v>
      </c>
      <c r="C345">
        <v>13</v>
      </c>
      <c r="D345" t="s">
        <v>16</v>
      </c>
      <c r="E345" t="s">
        <v>24</v>
      </c>
      <c r="F345">
        <v>5.48</v>
      </c>
      <c r="G345">
        <v>47.41</v>
      </c>
      <c r="H345">
        <v>139.99</v>
      </c>
      <c r="I345">
        <v>106.61</v>
      </c>
      <c r="J345">
        <v>2.25</v>
      </c>
      <c r="K345">
        <v>12.58</v>
      </c>
      <c r="L345">
        <v>3.07</v>
      </c>
      <c r="M345">
        <v>0</v>
      </c>
      <c r="N345">
        <v>1</v>
      </c>
      <c r="O345" t="s">
        <v>18</v>
      </c>
    </row>
    <row r="346" spans="1:15" x14ac:dyDescent="0.35">
      <c r="A346" t="s">
        <v>15</v>
      </c>
      <c r="B346">
        <v>2011</v>
      </c>
      <c r="C346">
        <v>54</v>
      </c>
      <c r="D346" t="s">
        <v>21</v>
      </c>
      <c r="E346" t="s">
        <v>17</v>
      </c>
      <c r="F346">
        <v>7.57</v>
      </c>
      <c r="G346">
        <v>44.59</v>
      </c>
      <c r="H346">
        <v>155.25</v>
      </c>
      <c r="I346">
        <v>164.12</v>
      </c>
      <c r="J346">
        <v>3.68</v>
      </c>
      <c r="K346">
        <v>6.55</v>
      </c>
      <c r="L346">
        <v>1.6</v>
      </c>
      <c r="M346">
        <v>1</v>
      </c>
      <c r="N346">
        <v>0</v>
      </c>
      <c r="O346" t="s">
        <v>18</v>
      </c>
    </row>
    <row r="347" spans="1:15" x14ac:dyDescent="0.35">
      <c r="A347" t="s">
        <v>15</v>
      </c>
      <c r="B347">
        <v>2011</v>
      </c>
      <c r="C347">
        <v>28</v>
      </c>
      <c r="D347" t="s">
        <v>21</v>
      </c>
      <c r="E347" t="s">
        <v>17</v>
      </c>
      <c r="F347">
        <v>6.04</v>
      </c>
      <c r="G347">
        <v>62.99</v>
      </c>
      <c r="H347">
        <v>136.72</v>
      </c>
      <c r="I347">
        <v>145.5</v>
      </c>
      <c r="J347">
        <v>2.31</v>
      </c>
      <c r="K347">
        <v>6.13</v>
      </c>
      <c r="L347">
        <v>1.5</v>
      </c>
      <c r="M347">
        <v>0</v>
      </c>
      <c r="N347">
        <v>0</v>
      </c>
      <c r="O347" t="s">
        <v>18</v>
      </c>
    </row>
    <row r="348" spans="1:15" x14ac:dyDescent="0.35">
      <c r="A348" t="s">
        <v>15</v>
      </c>
      <c r="B348">
        <v>2011</v>
      </c>
      <c r="C348">
        <v>50</v>
      </c>
      <c r="D348" t="s">
        <v>21</v>
      </c>
      <c r="E348" t="s">
        <v>17</v>
      </c>
      <c r="F348">
        <v>7.7</v>
      </c>
      <c r="G348">
        <v>45.29</v>
      </c>
      <c r="H348">
        <v>107.78</v>
      </c>
      <c r="I348">
        <v>131.82</v>
      </c>
      <c r="J348">
        <v>2.91</v>
      </c>
      <c r="K348">
        <v>5.97</v>
      </c>
      <c r="L348">
        <v>1.46</v>
      </c>
      <c r="M348">
        <v>1</v>
      </c>
      <c r="N348">
        <v>0</v>
      </c>
      <c r="O348" t="s">
        <v>23</v>
      </c>
    </row>
    <row r="349" spans="1:15" x14ac:dyDescent="0.35">
      <c r="A349" t="s">
        <v>15</v>
      </c>
      <c r="B349">
        <v>2011</v>
      </c>
      <c r="C349">
        <v>50</v>
      </c>
      <c r="D349" t="s">
        <v>16</v>
      </c>
      <c r="E349" t="s">
        <v>17</v>
      </c>
      <c r="F349">
        <v>6.63</v>
      </c>
      <c r="G349">
        <v>42.55</v>
      </c>
      <c r="H349">
        <v>144.49</v>
      </c>
      <c r="I349">
        <v>140.82</v>
      </c>
      <c r="J349">
        <v>3.31</v>
      </c>
      <c r="K349">
        <v>12.94</v>
      </c>
      <c r="L349">
        <v>3.16</v>
      </c>
      <c r="M349">
        <v>1</v>
      </c>
      <c r="N349">
        <v>1</v>
      </c>
      <c r="O349" t="s">
        <v>18</v>
      </c>
    </row>
    <row r="350" spans="1:15" x14ac:dyDescent="0.35">
      <c r="A350" t="s">
        <v>15</v>
      </c>
      <c r="B350">
        <v>2011</v>
      </c>
      <c r="C350">
        <v>40</v>
      </c>
      <c r="D350" t="s">
        <v>21</v>
      </c>
      <c r="E350" t="s">
        <v>17</v>
      </c>
      <c r="F350">
        <v>7.58</v>
      </c>
      <c r="G350">
        <v>56.16</v>
      </c>
      <c r="H350">
        <v>129.99</v>
      </c>
      <c r="I350">
        <v>129.05000000000001</v>
      </c>
      <c r="J350">
        <v>2.2999999999999998</v>
      </c>
      <c r="K350">
        <v>4.51</v>
      </c>
      <c r="L350">
        <v>1.1000000000000001</v>
      </c>
      <c r="M350">
        <v>1</v>
      </c>
      <c r="N350">
        <v>0</v>
      </c>
      <c r="O350" t="s">
        <v>23</v>
      </c>
    </row>
    <row r="351" spans="1:15" x14ac:dyDescent="0.35">
      <c r="A351" t="s">
        <v>15</v>
      </c>
      <c r="B351">
        <v>2011</v>
      </c>
      <c r="C351">
        <v>76</v>
      </c>
      <c r="D351" t="s">
        <v>16</v>
      </c>
      <c r="E351" t="s">
        <v>19</v>
      </c>
      <c r="F351">
        <v>8.75</v>
      </c>
      <c r="G351">
        <v>39.58</v>
      </c>
      <c r="H351">
        <v>181.65</v>
      </c>
      <c r="I351">
        <v>262.33999999999997</v>
      </c>
      <c r="J351">
        <v>6.63</v>
      </c>
      <c r="K351">
        <v>16.22</v>
      </c>
      <c r="L351">
        <v>3.96</v>
      </c>
      <c r="M351">
        <v>1</v>
      </c>
      <c r="N351">
        <v>1</v>
      </c>
      <c r="O351" t="s">
        <v>20</v>
      </c>
    </row>
    <row r="352" spans="1:15" x14ac:dyDescent="0.35">
      <c r="A352" t="s">
        <v>15</v>
      </c>
      <c r="B352">
        <v>2012</v>
      </c>
      <c r="C352">
        <v>31</v>
      </c>
      <c r="D352" t="s">
        <v>21</v>
      </c>
      <c r="E352" t="s">
        <v>17</v>
      </c>
      <c r="F352">
        <v>6.17</v>
      </c>
      <c r="G352">
        <v>40.82</v>
      </c>
      <c r="H352">
        <v>161.41</v>
      </c>
      <c r="I352">
        <v>226.67</v>
      </c>
      <c r="J352">
        <v>5.55</v>
      </c>
      <c r="K352">
        <v>11.57</v>
      </c>
      <c r="L352">
        <v>2.83</v>
      </c>
      <c r="M352">
        <v>0</v>
      </c>
      <c r="N352">
        <v>1</v>
      </c>
      <c r="O352" t="s">
        <v>20</v>
      </c>
    </row>
    <row r="353" spans="1:15" x14ac:dyDescent="0.35">
      <c r="A353" t="s">
        <v>15</v>
      </c>
      <c r="B353">
        <v>2012</v>
      </c>
      <c r="C353">
        <v>63</v>
      </c>
      <c r="D353" t="s">
        <v>16</v>
      </c>
      <c r="E353" t="s">
        <v>19</v>
      </c>
      <c r="F353">
        <v>7.61</v>
      </c>
      <c r="G353">
        <v>47.93</v>
      </c>
      <c r="H353">
        <v>136.99</v>
      </c>
      <c r="I353">
        <v>172.08</v>
      </c>
      <c r="J353">
        <v>3.59</v>
      </c>
      <c r="K353">
        <v>10.61</v>
      </c>
      <c r="L353">
        <v>2.59</v>
      </c>
      <c r="M353">
        <v>1</v>
      </c>
      <c r="N353">
        <v>1</v>
      </c>
      <c r="O353" t="s">
        <v>18</v>
      </c>
    </row>
    <row r="354" spans="1:15" x14ac:dyDescent="0.35">
      <c r="A354" t="s">
        <v>15</v>
      </c>
      <c r="B354">
        <v>2012</v>
      </c>
      <c r="C354">
        <v>83</v>
      </c>
      <c r="D354" t="s">
        <v>21</v>
      </c>
      <c r="E354" t="s">
        <v>19</v>
      </c>
      <c r="F354">
        <v>9.59</v>
      </c>
      <c r="G354">
        <v>46.78</v>
      </c>
      <c r="H354">
        <v>126.69</v>
      </c>
      <c r="I354">
        <v>143.22999999999999</v>
      </c>
      <c r="J354">
        <v>3.06</v>
      </c>
      <c r="K354">
        <v>14.59</v>
      </c>
      <c r="L354">
        <v>3.57</v>
      </c>
      <c r="M354">
        <v>1</v>
      </c>
      <c r="N354">
        <v>1</v>
      </c>
      <c r="O354" t="s">
        <v>23</v>
      </c>
    </row>
    <row r="355" spans="1:15" x14ac:dyDescent="0.35">
      <c r="A355" t="s">
        <v>15</v>
      </c>
      <c r="B355">
        <v>2012</v>
      </c>
      <c r="C355">
        <v>30</v>
      </c>
      <c r="D355" t="s">
        <v>21</v>
      </c>
      <c r="E355" t="s">
        <v>17</v>
      </c>
      <c r="F355">
        <v>6.2</v>
      </c>
      <c r="G355">
        <v>45.3</v>
      </c>
      <c r="H355">
        <v>140.22999999999999</v>
      </c>
      <c r="I355">
        <v>187.34</v>
      </c>
      <c r="J355">
        <v>4.1399999999999997</v>
      </c>
      <c r="K355">
        <v>15.59</v>
      </c>
      <c r="L355">
        <v>3.81</v>
      </c>
      <c r="M355">
        <v>0</v>
      </c>
      <c r="N355">
        <v>1</v>
      </c>
      <c r="O355" t="s">
        <v>18</v>
      </c>
    </row>
    <row r="356" spans="1:15" x14ac:dyDescent="0.35">
      <c r="A356" t="s">
        <v>15</v>
      </c>
      <c r="B356">
        <v>2012</v>
      </c>
      <c r="C356">
        <v>43</v>
      </c>
      <c r="D356" t="s">
        <v>21</v>
      </c>
      <c r="E356" t="s">
        <v>17</v>
      </c>
      <c r="F356">
        <v>7.8</v>
      </c>
      <c r="G356">
        <v>45.79</v>
      </c>
      <c r="H356">
        <v>125.12</v>
      </c>
      <c r="I356">
        <v>160.41</v>
      </c>
      <c r="J356">
        <v>3.5</v>
      </c>
      <c r="K356">
        <v>10.81</v>
      </c>
      <c r="L356">
        <v>2.64</v>
      </c>
      <c r="M356">
        <v>1</v>
      </c>
      <c r="N356">
        <v>1</v>
      </c>
      <c r="O356" t="s">
        <v>23</v>
      </c>
    </row>
    <row r="357" spans="1:15" x14ac:dyDescent="0.35">
      <c r="A357" t="s">
        <v>15</v>
      </c>
      <c r="B357">
        <v>2012</v>
      </c>
      <c r="C357">
        <v>53</v>
      </c>
      <c r="D357" t="s">
        <v>21</v>
      </c>
      <c r="E357" t="s">
        <v>17</v>
      </c>
      <c r="F357">
        <v>7.89</v>
      </c>
      <c r="G357">
        <v>44.55</v>
      </c>
      <c r="H357">
        <v>193</v>
      </c>
      <c r="I357">
        <v>180.82</v>
      </c>
      <c r="J357">
        <v>4.0599999999999996</v>
      </c>
      <c r="K357">
        <v>10.8</v>
      </c>
      <c r="L357">
        <v>2.64</v>
      </c>
      <c r="M357">
        <v>1</v>
      </c>
      <c r="N357">
        <v>1</v>
      </c>
      <c r="O357" t="s">
        <v>20</v>
      </c>
    </row>
    <row r="358" spans="1:15" x14ac:dyDescent="0.35">
      <c r="A358" t="s">
        <v>15</v>
      </c>
      <c r="B358">
        <v>2012</v>
      </c>
      <c r="C358">
        <v>57</v>
      </c>
      <c r="D358" t="s">
        <v>21</v>
      </c>
      <c r="E358" t="s">
        <v>17</v>
      </c>
      <c r="F358">
        <v>6.98</v>
      </c>
      <c r="G358">
        <v>45.06</v>
      </c>
      <c r="H358">
        <v>181.7</v>
      </c>
      <c r="I358">
        <v>171.22</v>
      </c>
      <c r="J358">
        <v>3.8</v>
      </c>
      <c r="K358">
        <v>10.65</v>
      </c>
      <c r="L358">
        <v>2.6</v>
      </c>
      <c r="M358">
        <v>1</v>
      </c>
      <c r="N358">
        <v>1</v>
      </c>
      <c r="O358" t="s">
        <v>20</v>
      </c>
    </row>
    <row r="359" spans="1:15" x14ac:dyDescent="0.35">
      <c r="A359" t="s">
        <v>15</v>
      </c>
      <c r="B359">
        <v>2012</v>
      </c>
      <c r="C359">
        <v>69</v>
      </c>
      <c r="D359" t="s">
        <v>21</v>
      </c>
      <c r="E359" t="s">
        <v>19</v>
      </c>
      <c r="F359">
        <v>7.94</v>
      </c>
      <c r="G359">
        <v>45.65</v>
      </c>
      <c r="H359">
        <v>130.03</v>
      </c>
      <c r="I359">
        <v>197.44</v>
      </c>
      <c r="J359">
        <v>4.33</v>
      </c>
      <c r="K359">
        <v>10.57</v>
      </c>
      <c r="L359">
        <v>2.58</v>
      </c>
      <c r="M359">
        <v>1</v>
      </c>
      <c r="N359">
        <v>1</v>
      </c>
      <c r="O359" t="s">
        <v>18</v>
      </c>
    </row>
    <row r="360" spans="1:15" x14ac:dyDescent="0.35">
      <c r="A360" t="s">
        <v>15</v>
      </c>
      <c r="B360">
        <v>2012</v>
      </c>
      <c r="C360">
        <v>73</v>
      </c>
      <c r="D360" t="s">
        <v>16</v>
      </c>
      <c r="E360" t="s">
        <v>19</v>
      </c>
      <c r="F360">
        <v>7.75</v>
      </c>
      <c r="G360">
        <v>35.869999999999997</v>
      </c>
      <c r="H360">
        <v>173.12</v>
      </c>
      <c r="I360">
        <v>204.75</v>
      </c>
      <c r="J360">
        <v>5.71</v>
      </c>
      <c r="K360">
        <v>10.96</v>
      </c>
      <c r="L360">
        <v>2.68</v>
      </c>
      <c r="M360">
        <v>1</v>
      </c>
      <c r="N360">
        <v>1</v>
      </c>
      <c r="O360" t="s">
        <v>20</v>
      </c>
    </row>
    <row r="361" spans="1:15" x14ac:dyDescent="0.35">
      <c r="A361" t="s">
        <v>15</v>
      </c>
      <c r="B361">
        <v>2012</v>
      </c>
      <c r="C361">
        <v>30</v>
      </c>
      <c r="D361" t="s">
        <v>16</v>
      </c>
      <c r="E361" t="s">
        <v>17</v>
      </c>
      <c r="F361">
        <v>6.24</v>
      </c>
      <c r="G361">
        <v>55.66</v>
      </c>
      <c r="H361">
        <v>149.84</v>
      </c>
      <c r="I361">
        <v>165.41</v>
      </c>
      <c r="J361">
        <v>2.97</v>
      </c>
      <c r="K361">
        <v>11.04</v>
      </c>
      <c r="L361">
        <v>2.7</v>
      </c>
      <c r="M361">
        <v>0</v>
      </c>
      <c r="N361">
        <v>1</v>
      </c>
      <c r="O361" t="s">
        <v>18</v>
      </c>
    </row>
    <row r="362" spans="1:15" x14ac:dyDescent="0.35">
      <c r="A362" t="s">
        <v>15</v>
      </c>
      <c r="B362">
        <v>2012</v>
      </c>
      <c r="C362">
        <v>4</v>
      </c>
      <c r="D362" t="s">
        <v>16</v>
      </c>
      <c r="E362" t="s">
        <v>22</v>
      </c>
      <c r="F362">
        <v>7.17</v>
      </c>
      <c r="G362">
        <v>41.59</v>
      </c>
      <c r="H362">
        <v>112.27</v>
      </c>
      <c r="I362">
        <v>99.8</v>
      </c>
      <c r="J362">
        <v>2.4</v>
      </c>
      <c r="K362">
        <v>6.95</v>
      </c>
      <c r="L362">
        <v>1.7</v>
      </c>
      <c r="M362">
        <v>1</v>
      </c>
      <c r="N362">
        <v>0</v>
      </c>
      <c r="O362" t="s">
        <v>23</v>
      </c>
    </row>
    <row r="363" spans="1:15" x14ac:dyDescent="0.35">
      <c r="A363" t="s">
        <v>15</v>
      </c>
      <c r="B363">
        <v>2012</v>
      </c>
      <c r="C363">
        <v>76</v>
      </c>
      <c r="D363" t="s">
        <v>16</v>
      </c>
      <c r="E363" t="s">
        <v>19</v>
      </c>
      <c r="F363">
        <v>8.16</v>
      </c>
      <c r="G363">
        <v>40.69</v>
      </c>
      <c r="H363">
        <v>222.98</v>
      </c>
      <c r="I363">
        <v>213.09</v>
      </c>
      <c r="J363">
        <v>5.24</v>
      </c>
      <c r="K363">
        <v>9.77</v>
      </c>
      <c r="L363">
        <v>2.39</v>
      </c>
      <c r="M363">
        <v>1</v>
      </c>
      <c r="N363">
        <v>0</v>
      </c>
      <c r="O363" t="s">
        <v>20</v>
      </c>
    </row>
    <row r="364" spans="1:15" x14ac:dyDescent="0.35">
      <c r="A364" t="s">
        <v>15</v>
      </c>
      <c r="B364">
        <v>2012</v>
      </c>
      <c r="C364">
        <v>13</v>
      </c>
      <c r="D364" t="s">
        <v>16</v>
      </c>
      <c r="E364" t="s">
        <v>24</v>
      </c>
      <c r="F364">
        <v>5.68</v>
      </c>
      <c r="G364">
        <v>40.049999999999997</v>
      </c>
      <c r="H364">
        <v>129.21</v>
      </c>
      <c r="I364">
        <v>162.57</v>
      </c>
      <c r="J364">
        <v>4.0599999999999996</v>
      </c>
      <c r="K364">
        <v>9.3699999999999992</v>
      </c>
      <c r="L364">
        <v>2.29</v>
      </c>
      <c r="M364">
        <v>0</v>
      </c>
      <c r="N364">
        <v>0</v>
      </c>
      <c r="O364" t="s">
        <v>23</v>
      </c>
    </row>
    <row r="365" spans="1:15" x14ac:dyDescent="0.35">
      <c r="A365" t="s">
        <v>15</v>
      </c>
      <c r="B365">
        <v>2012</v>
      </c>
      <c r="C365">
        <v>9</v>
      </c>
      <c r="D365" t="s">
        <v>16</v>
      </c>
      <c r="E365" t="s">
        <v>22</v>
      </c>
      <c r="F365">
        <v>5.83</v>
      </c>
      <c r="G365">
        <v>48.38</v>
      </c>
      <c r="H365">
        <v>187.66</v>
      </c>
      <c r="I365">
        <v>132.29</v>
      </c>
      <c r="J365">
        <v>2.73</v>
      </c>
      <c r="K365">
        <v>4.3600000000000003</v>
      </c>
      <c r="L365">
        <v>1.07</v>
      </c>
      <c r="M365">
        <v>0</v>
      </c>
      <c r="N365">
        <v>0</v>
      </c>
      <c r="O365" t="s">
        <v>20</v>
      </c>
    </row>
    <row r="366" spans="1:15" x14ac:dyDescent="0.35">
      <c r="A366" t="s">
        <v>15</v>
      </c>
      <c r="B366">
        <v>2012</v>
      </c>
      <c r="C366">
        <v>15</v>
      </c>
      <c r="D366" t="s">
        <v>21</v>
      </c>
      <c r="E366" t="s">
        <v>24</v>
      </c>
      <c r="F366">
        <v>8.2899999999999991</v>
      </c>
      <c r="G366">
        <v>62.44</v>
      </c>
      <c r="H366">
        <v>154.56</v>
      </c>
      <c r="I366">
        <v>180.01</v>
      </c>
      <c r="J366">
        <v>2.88</v>
      </c>
      <c r="K366">
        <v>9.2100000000000009</v>
      </c>
      <c r="L366">
        <v>2.25</v>
      </c>
      <c r="M366">
        <v>1</v>
      </c>
      <c r="N366">
        <v>0</v>
      </c>
      <c r="O366" t="s">
        <v>18</v>
      </c>
    </row>
    <row r="367" spans="1:15" x14ac:dyDescent="0.35">
      <c r="A367" t="s">
        <v>15</v>
      </c>
      <c r="B367">
        <v>2012</v>
      </c>
      <c r="C367">
        <v>4</v>
      </c>
      <c r="D367" t="s">
        <v>16</v>
      </c>
      <c r="E367" t="s">
        <v>22</v>
      </c>
      <c r="F367">
        <v>6.28</v>
      </c>
      <c r="G367">
        <v>58.47</v>
      </c>
      <c r="H367">
        <v>136.21</v>
      </c>
      <c r="I367">
        <v>227.81</v>
      </c>
      <c r="J367">
        <v>3.9</v>
      </c>
      <c r="K367">
        <v>8.84</v>
      </c>
      <c r="L367">
        <v>2.16</v>
      </c>
      <c r="M367">
        <v>0</v>
      </c>
      <c r="N367">
        <v>0</v>
      </c>
      <c r="O367" t="s">
        <v>20</v>
      </c>
    </row>
    <row r="368" spans="1:15" x14ac:dyDescent="0.35">
      <c r="A368" t="s">
        <v>15</v>
      </c>
      <c r="B368">
        <v>2012</v>
      </c>
      <c r="C368">
        <v>12</v>
      </c>
      <c r="D368" t="s">
        <v>16</v>
      </c>
      <c r="E368" t="s">
        <v>22</v>
      </c>
      <c r="F368">
        <v>7.77</v>
      </c>
      <c r="G368">
        <v>24.57</v>
      </c>
      <c r="H368">
        <v>154.49</v>
      </c>
      <c r="I368">
        <v>181.37</v>
      </c>
      <c r="J368">
        <v>7.38</v>
      </c>
      <c r="K368">
        <v>7.18</v>
      </c>
      <c r="L368">
        <v>1.76</v>
      </c>
      <c r="M368">
        <v>1</v>
      </c>
      <c r="N368">
        <v>0</v>
      </c>
      <c r="O368" t="s">
        <v>18</v>
      </c>
    </row>
    <row r="369" spans="1:15" x14ac:dyDescent="0.35">
      <c r="A369" t="s">
        <v>15</v>
      </c>
      <c r="B369">
        <v>2012</v>
      </c>
      <c r="C369">
        <v>14</v>
      </c>
      <c r="D369" t="s">
        <v>16</v>
      </c>
      <c r="E369" t="s">
        <v>24</v>
      </c>
      <c r="F369">
        <v>8.06</v>
      </c>
      <c r="G369">
        <v>48.67</v>
      </c>
      <c r="H369">
        <v>137.57</v>
      </c>
      <c r="I369">
        <v>202.48</v>
      </c>
      <c r="J369">
        <v>4.16</v>
      </c>
      <c r="K369">
        <v>6.08</v>
      </c>
      <c r="L369">
        <v>1.49</v>
      </c>
      <c r="M369">
        <v>1</v>
      </c>
      <c r="N369">
        <v>0</v>
      </c>
      <c r="O369" t="s">
        <v>20</v>
      </c>
    </row>
    <row r="370" spans="1:15" x14ac:dyDescent="0.35">
      <c r="A370" t="s">
        <v>15</v>
      </c>
      <c r="B370">
        <v>2012</v>
      </c>
      <c r="C370">
        <v>67</v>
      </c>
      <c r="D370" t="s">
        <v>21</v>
      </c>
      <c r="E370" t="s">
        <v>19</v>
      </c>
      <c r="F370">
        <v>6.34</v>
      </c>
      <c r="G370">
        <v>40.82</v>
      </c>
      <c r="H370">
        <v>177.11</v>
      </c>
      <c r="I370">
        <v>130.01</v>
      </c>
      <c r="J370">
        <v>3.19</v>
      </c>
      <c r="K370">
        <v>9.16</v>
      </c>
      <c r="L370">
        <v>2.2400000000000002</v>
      </c>
      <c r="M370">
        <v>0</v>
      </c>
      <c r="N370">
        <v>0</v>
      </c>
      <c r="O370" t="s">
        <v>20</v>
      </c>
    </row>
    <row r="371" spans="1:15" x14ac:dyDescent="0.35">
      <c r="A371" t="s">
        <v>15</v>
      </c>
      <c r="B371">
        <v>2012</v>
      </c>
      <c r="C371">
        <v>30</v>
      </c>
      <c r="D371" t="s">
        <v>16</v>
      </c>
      <c r="E371" t="s">
        <v>17</v>
      </c>
      <c r="F371">
        <v>8.58</v>
      </c>
      <c r="G371">
        <v>38.299999999999997</v>
      </c>
      <c r="H371">
        <v>182.2</v>
      </c>
      <c r="I371">
        <v>229.86</v>
      </c>
      <c r="J371">
        <v>6</v>
      </c>
      <c r="K371">
        <v>7.96</v>
      </c>
      <c r="L371">
        <v>1.95</v>
      </c>
      <c r="M371">
        <v>1</v>
      </c>
      <c r="N371">
        <v>0</v>
      </c>
      <c r="O371" t="s">
        <v>20</v>
      </c>
    </row>
    <row r="372" spans="1:15" x14ac:dyDescent="0.35">
      <c r="A372" t="s">
        <v>15</v>
      </c>
      <c r="B372">
        <v>2012</v>
      </c>
      <c r="C372">
        <v>58</v>
      </c>
      <c r="D372" t="s">
        <v>16</v>
      </c>
      <c r="E372" t="s">
        <v>17</v>
      </c>
      <c r="F372">
        <v>9.06</v>
      </c>
      <c r="G372">
        <v>43.72</v>
      </c>
      <c r="H372">
        <v>155.19</v>
      </c>
      <c r="I372">
        <v>179.22</v>
      </c>
      <c r="J372">
        <v>4.0999999999999996</v>
      </c>
      <c r="K372">
        <v>9.51</v>
      </c>
      <c r="L372">
        <v>2.3199999999999998</v>
      </c>
      <c r="M372">
        <v>1</v>
      </c>
      <c r="N372">
        <v>0</v>
      </c>
      <c r="O372" t="s">
        <v>18</v>
      </c>
    </row>
    <row r="373" spans="1:15" x14ac:dyDescent="0.35">
      <c r="A373" t="s">
        <v>15</v>
      </c>
      <c r="B373">
        <v>2012</v>
      </c>
      <c r="C373">
        <v>36</v>
      </c>
      <c r="D373" t="s">
        <v>16</v>
      </c>
      <c r="E373" t="s">
        <v>17</v>
      </c>
      <c r="F373">
        <v>5.81</v>
      </c>
      <c r="G373">
        <v>49.06</v>
      </c>
      <c r="H373">
        <v>157.26</v>
      </c>
      <c r="I373">
        <v>150.68</v>
      </c>
      <c r="J373">
        <v>3.07</v>
      </c>
      <c r="K373">
        <v>5.45</v>
      </c>
      <c r="L373">
        <v>1.33</v>
      </c>
      <c r="M373">
        <v>0</v>
      </c>
      <c r="N373">
        <v>0</v>
      </c>
      <c r="O373" t="s">
        <v>18</v>
      </c>
    </row>
    <row r="374" spans="1:15" x14ac:dyDescent="0.35">
      <c r="A374" t="s">
        <v>15</v>
      </c>
      <c r="B374">
        <v>2012</v>
      </c>
      <c r="C374">
        <v>73</v>
      </c>
      <c r="D374" t="s">
        <v>16</v>
      </c>
      <c r="E374" t="s">
        <v>19</v>
      </c>
      <c r="F374">
        <v>7.75</v>
      </c>
      <c r="G374">
        <v>24.25</v>
      </c>
      <c r="H374">
        <v>145.81</v>
      </c>
      <c r="I374">
        <v>237.57</v>
      </c>
      <c r="J374">
        <v>9.8000000000000007</v>
      </c>
      <c r="K374">
        <v>8.32</v>
      </c>
      <c r="L374">
        <v>2.0299999999999998</v>
      </c>
      <c r="M374">
        <v>1</v>
      </c>
      <c r="N374">
        <v>0</v>
      </c>
      <c r="O374" t="s">
        <v>20</v>
      </c>
    </row>
    <row r="375" spans="1:15" x14ac:dyDescent="0.35">
      <c r="A375" t="s">
        <v>15</v>
      </c>
      <c r="B375">
        <v>2012</v>
      </c>
      <c r="C375">
        <v>40</v>
      </c>
      <c r="D375" t="s">
        <v>16</v>
      </c>
      <c r="E375" t="s">
        <v>17</v>
      </c>
      <c r="F375">
        <v>6.62</v>
      </c>
      <c r="G375">
        <v>40.880000000000003</v>
      </c>
      <c r="H375">
        <v>160.41999999999999</v>
      </c>
      <c r="I375">
        <v>194.91</v>
      </c>
      <c r="J375">
        <v>4.7699999999999996</v>
      </c>
      <c r="K375">
        <v>4.8</v>
      </c>
      <c r="L375">
        <v>1.17</v>
      </c>
      <c r="M375">
        <v>1</v>
      </c>
      <c r="N375">
        <v>0</v>
      </c>
      <c r="O375" t="s">
        <v>20</v>
      </c>
    </row>
    <row r="376" spans="1:15" x14ac:dyDescent="0.35">
      <c r="A376" t="s">
        <v>15</v>
      </c>
      <c r="B376">
        <v>2012</v>
      </c>
      <c r="C376">
        <v>57</v>
      </c>
      <c r="D376" t="s">
        <v>16</v>
      </c>
      <c r="E376" t="s">
        <v>17</v>
      </c>
      <c r="F376">
        <v>7.2</v>
      </c>
      <c r="G376">
        <v>38.74</v>
      </c>
      <c r="H376">
        <v>163.54</v>
      </c>
      <c r="I376">
        <v>157.28</v>
      </c>
      <c r="J376">
        <v>4.0599999999999996</v>
      </c>
      <c r="K376">
        <v>8.15</v>
      </c>
      <c r="L376">
        <v>1.99</v>
      </c>
      <c r="M376">
        <v>1</v>
      </c>
      <c r="N376">
        <v>0</v>
      </c>
      <c r="O376" t="s">
        <v>20</v>
      </c>
    </row>
    <row r="377" spans="1:15" x14ac:dyDescent="0.35">
      <c r="A377" t="s">
        <v>15</v>
      </c>
      <c r="B377">
        <v>2012</v>
      </c>
      <c r="C377">
        <v>44</v>
      </c>
      <c r="D377" t="s">
        <v>16</v>
      </c>
      <c r="E377" t="s">
        <v>17</v>
      </c>
      <c r="F377">
        <v>6.8</v>
      </c>
      <c r="G377">
        <v>30.04</v>
      </c>
      <c r="H377">
        <v>119.19</v>
      </c>
      <c r="I377">
        <v>265.66000000000003</v>
      </c>
      <c r="J377">
        <v>8.84</v>
      </c>
      <c r="K377">
        <v>6.8</v>
      </c>
      <c r="L377">
        <v>1.66</v>
      </c>
      <c r="M377">
        <v>1</v>
      </c>
      <c r="N377">
        <v>0</v>
      </c>
      <c r="O377" t="s">
        <v>20</v>
      </c>
    </row>
    <row r="378" spans="1:15" x14ac:dyDescent="0.35">
      <c r="A378" t="s">
        <v>15</v>
      </c>
      <c r="B378">
        <v>2012</v>
      </c>
      <c r="C378">
        <v>41</v>
      </c>
      <c r="D378" t="s">
        <v>16</v>
      </c>
      <c r="E378" t="s">
        <v>17</v>
      </c>
      <c r="F378">
        <v>8.3000000000000007</v>
      </c>
      <c r="G378">
        <v>47.11</v>
      </c>
      <c r="H378">
        <v>156.35</v>
      </c>
      <c r="I378">
        <v>274.51</v>
      </c>
      <c r="J378">
        <v>5.83</v>
      </c>
      <c r="K378">
        <v>8.44</v>
      </c>
      <c r="L378">
        <v>2.06</v>
      </c>
      <c r="M378">
        <v>1</v>
      </c>
      <c r="N378">
        <v>0</v>
      </c>
      <c r="O378" t="s">
        <v>20</v>
      </c>
    </row>
    <row r="379" spans="1:15" x14ac:dyDescent="0.35">
      <c r="A379" t="s">
        <v>15</v>
      </c>
      <c r="B379">
        <v>2012</v>
      </c>
      <c r="C379">
        <v>32</v>
      </c>
      <c r="D379" t="s">
        <v>16</v>
      </c>
      <c r="E379" t="s">
        <v>17</v>
      </c>
      <c r="F379">
        <v>7.98</v>
      </c>
      <c r="G379">
        <v>25.03</v>
      </c>
      <c r="H379">
        <v>175.32</v>
      </c>
      <c r="I379">
        <v>87.79</v>
      </c>
      <c r="J379">
        <v>3.51</v>
      </c>
      <c r="K379">
        <v>7.53</v>
      </c>
      <c r="L379">
        <v>1.84</v>
      </c>
      <c r="M379">
        <v>1</v>
      </c>
      <c r="N379">
        <v>0</v>
      </c>
      <c r="O379" t="s">
        <v>20</v>
      </c>
    </row>
    <row r="380" spans="1:15" x14ac:dyDescent="0.35">
      <c r="A380" t="s">
        <v>15</v>
      </c>
      <c r="B380">
        <v>2012</v>
      </c>
      <c r="C380">
        <v>65</v>
      </c>
      <c r="D380" t="s">
        <v>16</v>
      </c>
      <c r="E380" t="s">
        <v>19</v>
      </c>
      <c r="F380">
        <v>7.3</v>
      </c>
      <c r="G380">
        <v>35.54</v>
      </c>
      <c r="H380">
        <v>186.47</v>
      </c>
      <c r="I380">
        <v>291.88</v>
      </c>
      <c r="J380">
        <v>8.2100000000000009</v>
      </c>
      <c r="K380">
        <v>6.77</v>
      </c>
      <c r="L380">
        <v>1.66</v>
      </c>
      <c r="M380">
        <v>1</v>
      </c>
      <c r="N380">
        <v>0</v>
      </c>
      <c r="O380" t="s">
        <v>20</v>
      </c>
    </row>
    <row r="381" spans="1:15" x14ac:dyDescent="0.35">
      <c r="A381" t="s">
        <v>15</v>
      </c>
      <c r="B381">
        <v>2012</v>
      </c>
      <c r="C381">
        <v>8</v>
      </c>
      <c r="D381" t="s">
        <v>16</v>
      </c>
      <c r="E381" t="s">
        <v>22</v>
      </c>
      <c r="F381">
        <v>7.05</v>
      </c>
      <c r="G381">
        <v>56.54</v>
      </c>
      <c r="H381">
        <v>140.88999999999999</v>
      </c>
      <c r="I381">
        <v>123.76</v>
      </c>
      <c r="J381">
        <v>2.19</v>
      </c>
      <c r="K381">
        <v>7.5</v>
      </c>
      <c r="L381">
        <v>1.83</v>
      </c>
      <c r="M381">
        <v>1</v>
      </c>
      <c r="N381">
        <v>0</v>
      </c>
      <c r="O381" t="s">
        <v>18</v>
      </c>
    </row>
    <row r="382" spans="1:15" x14ac:dyDescent="0.35">
      <c r="A382" t="s">
        <v>15</v>
      </c>
      <c r="B382">
        <v>2012</v>
      </c>
      <c r="C382">
        <v>28</v>
      </c>
      <c r="D382" t="s">
        <v>16</v>
      </c>
      <c r="E382" t="s">
        <v>17</v>
      </c>
      <c r="F382">
        <v>7.09</v>
      </c>
      <c r="G382">
        <v>55.91</v>
      </c>
      <c r="H382">
        <v>138.88999999999999</v>
      </c>
      <c r="I382">
        <v>117.08</v>
      </c>
      <c r="J382">
        <v>2.09</v>
      </c>
      <c r="K382">
        <v>7.32</v>
      </c>
      <c r="L382">
        <v>1.79</v>
      </c>
      <c r="M382">
        <v>1</v>
      </c>
      <c r="N382">
        <v>0</v>
      </c>
      <c r="O382" t="s">
        <v>18</v>
      </c>
    </row>
    <row r="383" spans="1:15" x14ac:dyDescent="0.35">
      <c r="A383" t="s">
        <v>15</v>
      </c>
      <c r="B383">
        <v>2012</v>
      </c>
      <c r="C383">
        <v>61</v>
      </c>
      <c r="D383" t="s">
        <v>21</v>
      </c>
      <c r="E383" t="s">
        <v>19</v>
      </c>
      <c r="F383">
        <v>6.99</v>
      </c>
      <c r="G383">
        <v>42.07</v>
      </c>
      <c r="H383">
        <v>140.56</v>
      </c>
      <c r="I383">
        <v>294.39999999999998</v>
      </c>
      <c r="J383">
        <v>7</v>
      </c>
      <c r="K383">
        <v>9.08</v>
      </c>
      <c r="L383">
        <v>2.2200000000000002</v>
      </c>
      <c r="M383">
        <v>1</v>
      </c>
      <c r="N383">
        <v>0</v>
      </c>
      <c r="O383" t="s">
        <v>20</v>
      </c>
    </row>
    <row r="384" spans="1:15" x14ac:dyDescent="0.35">
      <c r="A384" t="s">
        <v>15</v>
      </c>
      <c r="B384">
        <v>2012</v>
      </c>
      <c r="C384">
        <v>46</v>
      </c>
      <c r="D384" t="s">
        <v>16</v>
      </c>
      <c r="E384" t="s">
        <v>17</v>
      </c>
      <c r="F384">
        <v>7.7</v>
      </c>
      <c r="G384">
        <v>28.58</v>
      </c>
      <c r="H384">
        <v>154.11000000000001</v>
      </c>
      <c r="I384">
        <v>202.06</v>
      </c>
      <c r="J384">
        <v>7.07</v>
      </c>
      <c r="K384">
        <v>11.34</v>
      </c>
      <c r="L384">
        <v>2.77</v>
      </c>
      <c r="M384">
        <v>1</v>
      </c>
      <c r="N384">
        <v>1</v>
      </c>
      <c r="O384" t="s">
        <v>20</v>
      </c>
    </row>
    <row r="385" spans="1:15" x14ac:dyDescent="0.35">
      <c r="A385" t="s">
        <v>15</v>
      </c>
      <c r="B385">
        <v>2012</v>
      </c>
      <c r="C385">
        <v>46</v>
      </c>
      <c r="D385" t="s">
        <v>21</v>
      </c>
      <c r="E385" t="s">
        <v>17</v>
      </c>
      <c r="F385">
        <v>6.54</v>
      </c>
      <c r="G385">
        <v>36.700000000000003</v>
      </c>
      <c r="H385">
        <v>151.62</v>
      </c>
      <c r="I385">
        <v>193.29</v>
      </c>
      <c r="J385">
        <v>5.27</v>
      </c>
      <c r="K385">
        <v>8.75</v>
      </c>
      <c r="L385">
        <v>2.14</v>
      </c>
      <c r="M385">
        <v>1</v>
      </c>
      <c r="N385">
        <v>0</v>
      </c>
      <c r="O385" t="s">
        <v>18</v>
      </c>
    </row>
    <row r="386" spans="1:15" x14ac:dyDescent="0.35">
      <c r="A386" t="s">
        <v>15</v>
      </c>
      <c r="B386">
        <v>2012</v>
      </c>
      <c r="C386">
        <v>7</v>
      </c>
      <c r="D386" t="s">
        <v>21</v>
      </c>
      <c r="E386" t="s">
        <v>22</v>
      </c>
      <c r="F386">
        <v>7.63</v>
      </c>
      <c r="G386">
        <v>60.66</v>
      </c>
      <c r="H386">
        <v>127.06</v>
      </c>
      <c r="I386">
        <v>216.81</v>
      </c>
      <c r="J386">
        <v>3.57</v>
      </c>
      <c r="K386">
        <v>8.58</v>
      </c>
      <c r="L386">
        <v>2.1</v>
      </c>
      <c r="M386">
        <v>1</v>
      </c>
      <c r="N386">
        <v>0</v>
      </c>
      <c r="O386" t="s">
        <v>20</v>
      </c>
    </row>
    <row r="387" spans="1:15" x14ac:dyDescent="0.35">
      <c r="A387" t="s">
        <v>15</v>
      </c>
      <c r="B387">
        <v>2012</v>
      </c>
      <c r="C387">
        <v>34</v>
      </c>
      <c r="D387" t="s">
        <v>16</v>
      </c>
      <c r="E387" t="s">
        <v>17</v>
      </c>
      <c r="F387">
        <v>6.27</v>
      </c>
      <c r="G387">
        <v>39.770000000000003</v>
      </c>
      <c r="H387">
        <v>165.82</v>
      </c>
      <c r="I387">
        <v>262.51</v>
      </c>
      <c r="J387">
        <v>6.6</v>
      </c>
      <c r="K387">
        <v>11.55</v>
      </c>
      <c r="L387">
        <v>2.82</v>
      </c>
      <c r="M387">
        <v>0</v>
      </c>
      <c r="N387">
        <v>1</v>
      </c>
      <c r="O387" t="s">
        <v>20</v>
      </c>
    </row>
    <row r="388" spans="1:15" x14ac:dyDescent="0.35">
      <c r="A388" t="s">
        <v>15</v>
      </c>
      <c r="B388">
        <v>2012</v>
      </c>
      <c r="C388">
        <v>48</v>
      </c>
      <c r="D388" t="s">
        <v>21</v>
      </c>
      <c r="E388" t="s">
        <v>17</v>
      </c>
      <c r="F388">
        <v>8.09</v>
      </c>
      <c r="G388">
        <v>38</v>
      </c>
      <c r="H388">
        <v>128.13999999999999</v>
      </c>
      <c r="I388">
        <v>234.62</v>
      </c>
      <c r="J388">
        <v>6.17</v>
      </c>
      <c r="K388">
        <v>8.17</v>
      </c>
      <c r="L388">
        <v>2</v>
      </c>
      <c r="M388">
        <v>1</v>
      </c>
      <c r="N388">
        <v>0</v>
      </c>
      <c r="O388" t="s">
        <v>20</v>
      </c>
    </row>
    <row r="389" spans="1:15" x14ac:dyDescent="0.35">
      <c r="A389" t="s">
        <v>15</v>
      </c>
      <c r="B389">
        <v>2012</v>
      </c>
      <c r="C389">
        <v>28</v>
      </c>
      <c r="D389" t="s">
        <v>21</v>
      </c>
      <c r="E389" t="s">
        <v>17</v>
      </c>
      <c r="F389">
        <v>7.26</v>
      </c>
      <c r="G389">
        <v>49.07</v>
      </c>
      <c r="H389">
        <v>105.84</v>
      </c>
      <c r="I389">
        <v>123.01</v>
      </c>
      <c r="J389">
        <v>2.5099999999999998</v>
      </c>
      <c r="K389">
        <v>8.01</v>
      </c>
      <c r="L389">
        <v>1.96</v>
      </c>
      <c r="M389">
        <v>1</v>
      </c>
      <c r="N389">
        <v>0</v>
      </c>
      <c r="O389" t="s">
        <v>23</v>
      </c>
    </row>
    <row r="390" spans="1:15" x14ac:dyDescent="0.35">
      <c r="A390" t="s">
        <v>15</v>
      </c>
      <c r="B390">
        <v>2012</v>
      </c>
      <c r="C390">
        <v>34</v>
      </c>
      <c r="D390" t="s">
        <v>16</v>
      </c>
      <c r="E390" t="s">
        <v>17</v>
      </c>
      <c r="F390">
        <v>7.57</v>
      </c>
      <c r="G390">
        <v>42.29</v>
      </c>
      <c r="H390">
        <v>155.72</v>
      </c>
      <c r="I390">
        <v>204.55</v>
      </c>
      <c r="J390">
        <v>4.84</v>
      </c>
      <c r="K390">
        <v>12.07</v>
      </c>
      <c r="L390">
        <v>2.95</v>
      </c>
      <c r="M390">
        <v>1</v>
      </c>
      <c r="N390">
        <v>1</v>
      </c>
      <c r="O390" t="s">
        <v>20</v>
      </c>
    </row>
    <row r="391" spans="1:15" x14ac:dyDescent="0.35">
      <c r="A391" t="s">
        <v>15</v>
      </c>
      <c r="B391">
        <v>2012</v>
      </c>
      <c r="C391">
        <v>13</v>
      </c>
      <c r="D391" t="s">
        <v>21</v>
      </c>
      <c r="E391" t="s">
        <v>24</v>
      </c>
      <c r="F391">
        <v>6.35</v>
      </c>
      <c r="G391">
        <v>54.99</v>
      </c>
      <c r="H391">
        <v>138.51</v>
      </c>
      <c r="I391">
        <v>211.29</v>
      </c>
      <c r="J391">
        <v>3.84</v>
      </c>
      <c r="K391">
        <v>7.21</v>
      </c>
      <c r="L391">
        <v>1.76</v>
      </c>
      <c r="M391">
        <v>0</v>
      </c>
      <c r="N391">
        <v>0</v>
      </c>
      <c r="O391" t="s">
        <v>20</v>
      </c>
    </row>
    <row r="392" spans="1:15" x14ac:dyDescent="0.35">
      <c r="A392" t="s">
        <v>15</v>
      </c>
      <c r="B392">
        <v>2012</v>
      </c>
      <c r="C392">
        <v>4</v>
      </c>
      <c r="D392" t="s">
        <v>21</v>
      </c>
      <c r="E392" t="s">
        <v>22</v>
      </c>
      <c r="F392">
        <v>6.63</v>
      </c>
      <c r="G392">
        <v>41.24</v>
      </c>
      <c r="H392">
        <v>124.16</v>
      </c>
      <c r="I392">
        <v>174.12</v>
      </c>
      <c r="J392">
        <v>4.22</v>
      </c>
      <c r="K392">
        <v>6.72</v>
      </c>
      <c r="L392">
        <v>1.64</v>
      </c>
      <c r="M392">
        <v>1</v>
      </c>
      <c r="N392">
        <v>0</v>
      </c>
      <c r="O392" t="s">
        <v>23</v>
      </c>
    </row>
    <row r="393" spans="1:15" x14ac:dyDescent="0.35">
      <c r="A393" t="s">
        <v>15</v>
      </c>
      <c r="B393">
        <v>2012</v>
      </c>
      <c r="C393">
        <v>34</v>
      </c>
      <c r="D393" t="s">
        <v>21</v>
      </c>
      <c r="E393" t="s">
        <v>17</v>
      </c>
      <c r="F393">
        <v>7.47</v>
      </c>
      <c r="G393">
        <v>44.99</v>
      </c>
      <c r="H393">
        <v>130.55000000000001</v>
      </c>
      <c r="I393">
        <v>205.01</v>
      </c>
      <c r="J393">
        <v>4.5599999999999996</v>
      </c>
      <c r="K393">
        <v>6.16</v>
      </c>
      <c r="L393">
        <v>1.51</v>
      </c>
      <c r="M393">
        <v>1</v>
      </c>
      <c r="N393">
        <v>0</v>
      </c>
      <c r="O393" t="s">
        <v>20</v>
      </c>
    </row>
    <row r="394" spans="1:15" x14ac:dyDescent="0.35">
      <c r="A394" t="s">
        <v>15</v>
      </c>
      <c r="B394">
        <v>2012</v>
      </c>
      <c r="C394">
        <v>5</v>
      </c>
      <c r="D394" t="s">
        <v>21</v>
      </c>
      <c r="E394" t="s">
        <v>22</v>
      </c>
      <c r="F394">
        <v>6.71</v>
      </c>
      <c r="G394">
        <v>45.4</v>
      </c>
      <c r="H394">
        <v>112.62</v>
      </c>
      <c r="I394">
        <v>80.540000000000006</v>
      </c>
      <c r="J394">
        <v>1.77</v>
      </c>
      <c r="K394">
        <v>6.12</v>
      </c>
      <c r="L394">
        <v>1.5</v>
      </c>
      <c r="M394">
        <v>1</v>
      </c>
      <c r="N394">
        <v>0</v>
      </c>
      <c r="O394" t="s">
        <v>23</v>
      </c>
    </row>
    <row r="395" spans="1:15" x14ac:dyDescent="0.35">
      <c r="A395" t="s">
        <v>15</v>
      </c>
      <c r="B395">
        <v>2012</v>
      </c>
      <c r="C395">
        <v>18</v>
      </c>
      <c r="D395" t="s">
        <v>21</v>
      </c>
      <c r="E395" t="s">
        <v>24</v>
      </c>
      <c r="F395">
        <v>6.3</v>
      </c>
      <c r="G395">
        <v>56.15</v>
      </c>
      <c r="H395">
        <v>93.22</v>
      </c>
      <c r="I395">
        <v>162.29</v>
      </c>
      <c r="J395">
        <v>2.89</v>
      </c>
      <c r="K395">
        <v>5.96</v>
      </c>
      <c r="L395">
        <v>1.46</v>
      </c>
      <c r="M395">
        <v>0</v>
      </c>
      <c r="N395">
        <v>0</v>
      </c>
      <c r="O395" t="s">
        <v>23</v>
      </c>
    </row>
    <row r="396" spans="1:15" x14ac:dyDescent="0.35">
      <c r="A396" t="s">
        <v>15</v>
      </c>
      <c r="B396">
        <v>2012</v>
      </c>
      <c r="C396">
        <v>1</v>
      </c>
      <c r="D396" t="s">
        <v>21</v>
      </c>
      <c r="E396" t="s">
        <v>22</v>
      </c>
      <c r="F396">
        <v>7.42</v>
      </c>
      <c r="G396">
        <v>56.88</v>
      </c>
      <c r="H396">
        <v>166.58</v>
      </c>
      <c r="I396">
        <v>172.01</v>
      </c>
      <c r="J396">
        <v>3.02</v>
      </c>
      <c r="K396">
        <v>5.88</v>
      </c>
      <c r="L396">
        <v>1.44</v>
      </c>
      <c r="M396">
        <v>1</v>
      </c>
      <c r="N396">
        <v>0</v>
      </c>
      <c r="O396" t="s">
        <v>20</v>
      </c>
    </row>
    <row r="397" spans="1:15" x14ac:dyDescent="0.35">
      <c r="A397" t="s">
        <v>15</v>
      </c>
      <c r="B397">
        <v>2012</v>
      </c>
      <c r="C397">
        <v>29</v>
      </c>
      <c r="D397" t="s">
        <v>21</v>
      </c>
      <c r="E397" t="s">
        <v>17</v>
      </c>
      <c r="F397">
        <v>6.44</v>
      </c>
      <c r="G397">
        <v>29.26</v>
      </c>
      <c r="H397">
        <v>144.19</v>
      </c>
      <c r="I397">
        <v>150.81</v>
      </c>
      <c r="J397">
        <v>5.15</v>
      </c>
      <c r="K397">
        <v>5.78</v>
      </c>
      <c r="L397">
        <v>1.41</v>
      </c>
      <c r="M397">
        <v>0</v>
      </c>
      <c r="N397">
        <v>0</v>
      </c>
      <c r="O397" t="s">
        <v>18</v>
      </c>
    </row>
    <row r="398" spans="1:15" x14ac:dyDescent="0.35">
      <c r="A398" t="s">
        <v>15</v>
      </c>
      <c r="B398">
        <v>2012</v>
      </c>
      <c r="C398">
        <v>31</v>
      </c>
      <c r="D398" t="s">
        <v>21</v>
      </c>
      <c r="E398" t="s">
        <v>17</v>
      </c>
      <c r="F398">
        <v>7.6</v>
      </c>
      <c r="G398">
        <v>55.83</v>
      </c>
      <c r="H398">
        <v>190.14</v>
      </c>
      <c r="I398">
        <v>94.58</v>
      </c>
      <c r="J398">
        <v>1.69</v>
      </c>
      <c r="K398">
        <v>5.64</v>
      </c>
      <c r="L398">
        <v>1.38</v>
      </c>
      <c r="M398">
        <v>1</v>
      </c>
      <c r="N398">
        <v>0</v>
      </c>
      <c r="O398" t="s">
        <v>20</v>
      </c>
    </row>
    <row r="399" spans="1:15" x14ac:dyDescent="0.35">
      <c r="A399" t="s">
        <v>15</v>
      </c>
      <c r="B399">
        <v>2012</v>
      </c>
      <c r="C399">
        <v>49</v>
      </c>
      <c r="D399" t="s">
        <v>21</v>
      </c>
      <c r="E399" t="s">
        <v>17</v>
      </c>
      <c r="F399">
        <v>8.16</v>
      </c>
      <c r="G399">
        <v>41.44</v>
      </c>
      <c r="H399">
        <v>182.55</v>
      </c>
      <c r="I399">
        <v>212.77</v>
      </c>
      <c r="J399">
        <v>5.13</v>
      </c>
      <c r="K399">
        <v>4.88</v>
      </c>
      <c r="L399">
        <v>1.19</v>
      </c>
      <c r="M399">
        <v>1</v>
      </c>
      <c r="N399">
        <v>0</v>
      </c>
      <c r="O399" t="s">
        <v>20</v>
      </c>
    </row>
    <row r="400" spans="1:15" x14ac:dyDescent="0.35">
      <c r="A400" t="s">
        <v>15</v>
      </c>
      <c r="B400">
        <v>2012</v>
      </c>
      <c r="C400">
        <v>30</v>
      </c>
      <c r="D400" t="s">
        <v>21</v>
      </c>
      <c r="E400" t="s">
        <v>17</v>
      </c>
      <c r="F400">
        <v>7.84</v>
      </c>
      <c r="G400">
        <v>37.799999999999997</v>
      </c>
      <c r="H400">
        <v>100.41</v>
      </c>
      <c r="I400">
        <v>158.72999999999999</v>
      </c>
      <c r="J400">
        <v>4.2</v>
      </c>
      <c r="K400">
        <v>4.82</v>
      </c>
      <c r="L400">
        <v>1.18</v>
      </c>
      <c r="M400">
        <v>1</v>
      </c>
      <c r="N400">
        <v>0</v>
      </c>
      <c r="O400" t="s">
        <v>23</v>
      </c>
    </row>
    <row r="401" spans="1:15" x14ac:dyDescent="0.35">
      <c r="A401" t="s">
        <v>15</v>
      </c>
      <c r="B401">
        <v>2012</v>
      </c>
      <c r="C401">
        <v>15</v>
      </c>
      <c r="D401" t="s">
        <v>21</v>
      </c>
      <c r="E401" t="s">
        <v>24</v>
      </c>
      <c r="F401">
        <v>7.22</v>
      </c>
      <c r="G401">
        <v>33.42</v>
      </c>
      <c r="H401">
        <v>124.61</v>
      </c>
      <c r="I401">
        <v>168.02</v>
      </c>
      <c r="J401">
        <v>5.03</v>
      </c>
      <c r="K401">
        <v>4.68</v>
      </c>
      <c r="L401">
        <v>1.1399999999999999</v>
      </c>
      <c r="M401">
        <v>1</v>
      </c>
      <c r="N401">
        <v>0</v>
      </c>
      <c r="O401" t="s">
        <v>23</v>
      </c>
    </row>
    <row r="402" spans="1:15" x14ac:dyDescent="0.35">
      <c r="A402" t="s">
        <v>15</v>
      </c>
      <c r="B402">
        <v>2013</v>
      </c>
      <c r="C402">
        <v>62</v>
      </c>
      <c r="D402" t="s">
        <v>21</v>
      </c>
      <c r="E402" t="s">
        <v>19</v>
      </c>
      <c r="F402">
        <v>6.38</v>
      </c>
      <c r="G402">
        <v>55.33</v>
      </c>
      <c r="H402">
        <v>184.19</v>
      </c>
      <c r="I402">
        <v>135.26</v>
      </c>
      <c r="J402">
        <v>2.44</v>
      </c>
      <c r="K402">
        <v>11.59</v>
      </c>
      <c r="L402">
        <v>2.83</v>
      </c>
      <c r="M402">
        <v>0</v>
      </c>
      <c r="N402">
        <v>1</v>
      </c>
      <c r="O402" t="s">
        <v>20</v>
      </c>
    </row>
    <row r="403" spans="1:15" x14ac:dyDescent="0.35">
      <c r="A403" t="s">
        <v>15</v>
      </c>
      <c r="B403">
        <v>2013</v>
      </c>
      <c r="C403">
        <v>81</v>
      </c>
      <c r="D403" t="s">
        <v>21</v>
      </c>
      <c r="E403" t="s">
        <v>19</v>
      </c>
      <c r="F403">
        <v>8.01</v>
      </c>
      <c r="G403">
        <v>35.39</v>
      </c>
      <c r="H403">
        <v>198.7</v>
      </c>
      <c r="I403">
        <v>211.9</v>
      </c>
      <c r="J403">
        <v>5.99</v>
      </c>
      <c r="K403">
        <v>11.7</v>
      </c>
      <c r="L403">
        <v>2.86</v>
      </c>
      <c r="M403">
        <v>1</v>
      </c>
      <c r="N403">
        <v>1</v>
      </c>
      <c r="O403" t="s">
        <v>20</v>
      </c>
    </row>
    <row r="404" spans="1:15" x14ac:dyDescent="0.35">
      <c r="A404" t="s">
        <v>15</v>
      </c>
      <c r="B404">
        <v>2013</v>
      </c>
      <c r="C404">
        <v>84</v>
      </c>
      <c r="D404" t="s">
        <v>21</v>
      </c>
      <c r="E404" t="s">
        <v>19</v>
      </c>
      <c r="F404">
        <v>7.9</v>
      </c>
      <c r="G404">
        <v>29.62</v>
      </c>
      <c r="H404">
        <v>155.37</v>
      </c>
      <c r="I404">
        <v>165.74</v>
      </c>
      <c r="J404">
        <v>5.59</v>
      </c>
      <c r="K404">
        <v>11.9</v>
      </c>
      <c r="L404">
        <v>2.91</v>
      </c>
      <c r="M404">
        <v>1</v>
      </c>
      <c r="N404">
        <v>1</v>
      </c>
      <c r="O404" t="s">
        <v>18</v>
      </c>
    </row>
    <row r="405" spans="1:15" x14ac:dyDescent="0.35">
      <c r="A405" t="s">
        <v>15</v>
      </c>
      <c r="B405">
        <v>2013</v>
      </c>
      <c r="C405">
        <v>21</v>
      </c>
      <c r="D405" t="s">
        <v>16</v>
      </c>
      <c r="E405" t="s">
        <v>17</v>
      </c>
      <c r="F405">
        <v>7.08</v>
      </c>
      <c r="G405">
        <v>47.67</v>
      </c>
      <c r="H405">
        <v>108.75</v>
      </c>
      <c r="I405">
        <v>177.74</v>
      </c>
      <c r="J405">
        <v>3.73</v>
      </c>
      <c r="K405">
        <v>10.38</v>
      </c>
      <c r="L405">
        <v>2.54</v>
      </c>
      <c r="M405">
        <v>1</v>
      </c>
      <c r="N405">
        <v>1</v>
      </c>
      <c r="O405" t="s">
        <v>23</v>
      </c>
    </row>
    <row r="406" spans="1:15" x14ac:dyDescent="0.35">
      <c r="A406" t="s">
        <v>15</v>
      </c>
      <c r="B406">
        <v>2013</v>
      </c>
      <c r="C406">
        <v>37</v>
      </c>
      <c r="D406" t="s">
        <v>21</v>
      </c>
      <c r="E406" t="s">
        <v>17</v>
      </c>
      <c r="F406">
        <v>5.92</v>
      </c>
      <c r="G406">
        <v>54.49</v>
      </c>
      <c r="H406">
        <v>171.49</v>
      </c>
      <c r="I406">
        <v>223.59</v>
      </c>
      <c r="J406">
        <v>4.0999999999999996</v>
      </c>
      <c r="K406">
        <v>13.21</v>
      </c>
      <c r="L406">
        <v>3.23</v>
      </c>
      <c r="M406">
        <v>0</v>
      </c>
      <c r="N406">
        <v>1</v>
      </c>
      <c r="O406" t="s">
        <v>20</v>
      </c>
    </row>
    <row r="407" spans="1:15" x14ac:dyDescent="0.35">
      <c r="A407" t="s">
        <v>15</v>
      </c>
      <c r="B407">
        <v>2013</v>
      </c>
      <c r="C407">
        <v>22</v>
      </c>
      <c r="D407" t="s">
        <v>21</v>
      </c>
      <c r="E407" t="s">
        <v>17</v>
      </c>
      <c r="F407">
        <v>6.25</v>
      </c>
      <c r="G407">
        <v>45.85</v>
      </c>
      <c r="H407">
        <v>168.88</v>
      </c>
      <c r="I407">
        <v>281.95999999999998</v>
      </c>
      <c r="J407">
        <v>6.15</v>
      </c>
      <c r="K407">
        <v>10.73</v>
      </c>
      <c r="L407">
        <v>2.62</v>
      </c>
      <c r="M407">
        <v>0</v>
      </c>
      <c r="N407">
        <v>1</v>
      </c>
      <c r="O407" t="s">
        <v>20</v>
      </c>
    </row>
    <row r="408" spans="1:15" x14ac:dyDescent="0.35">
      <c r="A408" t="s">
        <v>15</v>
      </c>
      <c r="B408">
        <v>2013</v>
      </c>
      <c r="C408">
        <v>65</v>
      </c>
      <c r="D408" t="s">
        <v>21</v>
      </c>
      <c r="E408" t="s">
        <v>19</v>
      </c>
      <c r="F408">
        <v>8.33</v>
      </c>
      <c r="G408">
        <v>46.01</v>
      </c>
      <c r="H408">
        <v>171.84</v>
      </c>
      <c r="I408">
        <v>131.1</v>
      </c>
      <c r="J408">
        <v>2.85</v>
      </c>
      <c r="K408">
        <v>10.43</v>
      </c>
      <c r="L408">
        <v>2.5499999999999998</v>
      </c>
      <c r="M408">
        <v>1</v>
      </c>
      <c r="N408">
        <v>1</v>
      </c>
      <c r="O408" t="s">
        <v>20</v>
      </c>
    </row>
    <row r="409" spans="1:15" x14ac:dyDescent="0.35">
      <c r="A409" t="s">
        <v>15</v>
      </c>
      <c r="B409">
        <v>2013</v>
      </c>
      <c r="C409">
        <v>34</v>
      </c>
      <c r="D409" t="s">
        <v>16</v>
      </c>
      <c r="E409" t="s">
        <v>17</v>
      </c>
      <c r="F409">
        <v>7.94</v>
      </c>
      <c r="G409">
        <v>53.75</v>
      </c>
      <c r="H409">
        <v>143.30000000000001</v>
      </c>
      <c r="I409">
        <v>221.12</v>
      </c>
      <c r="J409">
        <v>4.1100000000000003</v>
      </c>
      <c r="K409">
        <v>10.88</v>
      </c>
      <c r="L409">
        <v>2.66</v>
      </c>
      <c r="M409">
        <v>1</v>
      </c>
      <c r="N409">
        <v>1</v>
      </c>
      <c r="O409" t="s">
        <v>20</v>
      </c>
    </row>
    <row r="410" spans="1:15" x14ac:dyDescent="0.35">
      <c r="A410" t="s">
        <v>15</v>
      </c>
      <c r="B410">
        <v>2013</v>
      </c>
      <c r="C410">
        <v>35</v>
      </c>
      <c r="D410" t="s">
        <v>21</v>
      </c>
      <c r="E410" t="s">
        <v>17</v>
      </c>
      <c r="F410">
        <v>8.8800000000000008</v>
      </c>
      <c r="G410">
        <v>52.5</v>
      </c>
      <c r="H410">
        <v>186.07</v>
      </c>
      <c r="I410">
        <v>187.47</v>
      </c>
      <c r="J410">
        <v>3.57</v>
      </c>
      <c r="K410">
        <v>10.36</v>
      </c>
      <c r="L410">
        <v>2.5299999999999998</v>
      </c>
      <c r="M410">
        <v>1</v>
      </c>
      <c r="N410">
        <v>1</v>
      </c>
      <c r="O410" t="s">
        <v>20</v>
      </c>
    </row>
    <row r="411" spans="1:15" x14ac:dyDescent="0.35">
      <c r="A411" t="s">
        <v>15</v>
      </c>
      <c r="B411">
        <v>2013</v>
      </c>
      <c r="C411">
        <v>57</v>
      </c>
      <c r="D411" t="s">
        <v>21</v>
      </c>
      <c r="E411" t="s">
        <v>17</v>
      </c>
      <c r="F411">
        <v>7.58</v>
      </c>
      <c r="G411">
        <v>40.15</v>
      </c>
      <c r="H411">
        <v>183.92</v>
      </c>
      <c r="I411">
        <v>135.65</v>
      </c>
      <c r="J411">
        <v>3.38</v>
      </c>
      <c r="K411">
        <v>10.220000000000001</v>
      </c>
      <c r="L411">
        <v>2.5</v>
      </c>
      <c r="M411">
        <v>1</v>
      </c>
      <c r="N411">
        <v>0</v>
      </c>
      <c r="O411" t="s">
        <v>20</v>
      </c>
    </row>
    <row r="412" spans="1:15" x14ac:dyDescent="0.35">
      <c r="A412" t="s">
        <v>15</v>
      </c>
      <c r="B412">
        <v>2013</v>
      </c>
      <c r="C412">
        <v>35</v>
      </c>
      <c r="D412" t="s">
        <v>21</v>
      </c>
      <c r="E412" t="s">
        <v>17</v>
      </c>
      <c r="F412">
        <v>6.95</v>
      </c>
      <c r="G412">
        <v>47.36</v>
      </c>
      <c r="H412">
        <v>147.12</v>
      </c>
      <c r="I412">
        <v>182.01</v>
      </c>
      <c r="J412">
        <v>3.84</v>
      </c>
      <c r="K412">
        <v>10.17</v>
      </c>
      <c r="L412">
        <v>2.4900000000000002</v>
      </c>
      <c r="M412">
        <v>1</v>
      </c>
      <c r="N412">
        <v>0</v>
      </c>
      <c r="O412" t="s">
        <v>18</v>
      </c>
    </row>
    <row r="413" spans="1:15" x14ac:dyDescent="0.35">
      <c r="A413" t="s">
        <v>15</v>
      </c>
      <c r="B413">
        <v>2013</v>
      </c>
      <c r="C413">
        <v>68</v>
      </c>
      <c r="D413" t="s">
        <v>21</v>
      </c>
      <c r="E413" t="s">
        <v>19</v>
      </c>
      <c r="F413">
        <v>9.49</v>
      </c>
      <c r="G413">
        <v>32.619999999999997</v>
      </c>
      <c r="H413">
        <v>163.37</v>
      </c>
      <c r="I413">
        <v>233.12</v>
      </c>
      <c r="J413">
        <v>7.15</v>
      </c>
      <c r="K413">
        <v>10.119999999999999</v>
      </c>
      <c r="L413">
        <v>2.4700000000000002</v>
      </c>
      <c r="M413">
        <v>1</v>
      </c>
      <c r="N413">
        <v>0</v>
      </c>
      <c r="O413" t="s">
        <v>20</v>
      </c>
    </row>
    <row r="414" spans="1:15" x14ac:dyDescent="0.35">
      <c r="A414" t="s">
        <v>15</v>
      </c>
      <c r="B414">
        <v>2013</v>
      </c>
      <c r="C414">
        <v>3</v>
      </c>
      <c r="D414" t="s">
        <v>21</v>
      </c>
      <c r="E414" t="s">
        <v>22</v>
      </c>
      <c r="F414">
        <v>5.99</v>
      </c>
      <c r="G414">
        <v>28.19</v>
      </c>
      <c r="H414">
        <v>81.52</v>
      </c>
      <c r="I414">
        <v>104.71</v>
      </c>
      <c r="J414">
        <v>3.71</v>
      </c>
      <c r="K414">
        <v>10.06</v>
      </c>
      <c r="L414">
        <v>2.46</v>
      </c>
      <c r="M414">
        <v>0</v>
      </c>
      <c r="N414">
        <v>0</v>
      </c>
      <c r="O414" t="s">
        <v>23</v>
      </c>
    </row>
    <row r="415" spans="1:15" x14ac:dyDescent="0.35">
      <c r="A415" t="s">
        <v>15</v>
      </c>
      <c r="B415">
        <v>2013</v>
      </c>
      <c r="C415">
        <v>74</v>
      </c>
      <c r="D415" t="s">
        <v>16</v>
      </c>
      <c r="E415" t="s">
        <v>19</v>
      </c>
      <c r="F415">
        <v>7.76</v>
      </c>
      <c r="G415">
        <v>25.13</v>
      </c>
      <c r="H415">
        <v>137.47</v>
      </c>
      <c r="I415">
        <v>321.67</v>
      </c>
      <c r="J415">
        <v>12.8</v>
      </c>
      <c r="K415">
        <v>11.04</v>
      </c>
      <c r="L415">
        <v>2.7</v>
      </c>
      <c r="M415">
        <v>1</v>
      </c>
      <c r="N415">
        <v>1</v>
      </c>
      <c r="O415" t="s">
        <v>20</v>
      </c>
    </row>
    <row r="416" spans="1:15" x14ac:dyDescent="0.35">
      <c r="A416" t="s">
        <v>15</v>
      </c>
      <c r="B416">
        <v>2013</v>
      </c>
      <c r="C416">
        <v>43</v>
      </c>
      <c r="D416" t="s">
        <v>21</v>
      </c>
      <c r="E416" t="s">
        <v>17</v>
      </c>
      <c r="F416">
        <v>9.23</v>
      </c>
      <c r="G416">
        <v>49.95</v>
      </c>
      <c r="H416">
        <v>174.39</v>
      </c>
      <c r="I416">
        <v>213.35</v>
      </c>
      <c r="J416">
        <v>4.2699999999999996</v>
      </c>
      <c r="K416">
        <v>9.93</v>
      </c>
      <c r="L416">
        <v>2.4300000000000002</v>
      </c>
      <c r="M416">
        <v>1</v>
      </c>
      <c r="N416">
        <v>0</v>
      </c>
      <c r="O416" t="s">
        <v>20</v>
      </c>
    </row>
    <row r="417" spans="1:15" x14ac:dyDescent="0.35">
      <c r="A417" t="s">
        <v>15</v>
      </c>
      <c r="B417">
        <v>2013</v>
      </c>
      <c r="C417">
        <v>46</v>
      </c>
      <c r="D417" t="s">
        <v>21</v>
      </c>
      <c r="E417" t="s">
        <v>17</v>
      </c>
      <c r="F417">
        <v>7.34</v>
      </c>
      <c r="G417">
        <v>41.55</v>
      </c>
      <c r="H417">
        <v>145.09</v>
      </c>
      <c r="I417">
        <v>308.44</v>
      </c>
      <c r="J417">
        <v>7.42</v>
      </c>
      <c r="K417">
        <v>9.6</v>
      </c>
      <c r="L417">
        <v>2.35</v>
      </c>
      <c r="M417">
        <v>1</v>
      </c>
      <c r="N417">
        <v>0</v>
      </c>
      <c r="O417" t="s">
        <v>20</v>
      </c>
    </row>
    <row r="418" spans="1:15" x14ac:dyDescent="0.35">
      <c r="A418" t="s">
        <v>15</v>
      </c>
      <c r="B418">
        <v>2013</v>
      </c>
      <c r="C418">
        <v>67</v>
      </c>
      <c r="D418" t="s">
        <v>21</v>
      </c>
      <c r="E418" t="s">
        <v>19</v>
      </c>
      <c r="F418">
        <v>7.08</v>
      </c>
      <c r="G418">
        <v>37.729999999999997</v>
      </c>
      <c r="H418">
        <v>167.81</v>
      </c>
      <c r="I418">
        <v>246.35</v>
      </c>
      <c r="J418">
        <v>6.53</v>
      </c>
      <c r="K418">
        <v>9.3000000000000007</v>
      </c>
      <c r="L418">
        <v>2.27</v>
      </c>
      <c r="M418">
        <v>1</v>
      </c>
      <c r="N418">
        <v>0</v>
      </c>
      <c r="O418" t="s">
        <v>20</v>
      </c>
    </row>
    <row r="419" spans="1:15" x14ac:dyDescent="0.35">
      <c r="A419" t="s">
        <v>15</v>
      </c>
      <c r="B419">
        <v>2013</v>
      </c>
      <c r="C419">
        <v>79</v>
      </c>
      <c r="D419" t="s">
        <v>16</v>
      </c>
      <c r="E419" t="s">
        <v>19</v>
      </c>
      <c r="F419">
        <v>7.79</v>
      </c>
      <c r="G419">
        <v>54.45</v>
      </c>
      <c r="H419">
        <v>150.88999999999999</v>
      </c>
      <c r="I419">
        <v>200.81</v>
      </c>
      <c r="J419">
        <v>3.69</v>
      </c>
      <c r="K419">
        <v>9.4499999999999993</v>
      </c>
      <c r="L419">
        <v>2.31</v>
      </c>
      <c r="M419">
        <v>1</v>
      </c>
      <c r="N419">
        <v>0</v>
      </c>
      <c r="O419" t="s">
        <v>20</v>
      </c>
    </row>
    <row r="420" spans="1:15" x14ac:dyDescent="0.35">
      <c r="A420" t="s">
        <v>15</v>
      </c>
      <c r="B420">
        <v>2013</v>
      </c>
      <c r="C420">
        <v>22</v>
      </c>
      <c r="D420" t="s">
        <v>16</v>
      </c>
      <c r="E420" t="s">
        <v>17</v>
      </c>
      <c r="F420">
        <v>6.77</v>
      </c>
      <c r="G420">
        <v>48.89</v>
      </c>
      <c r="H420">
        <v>106.11</v>
      </c>
      <c r="I420">
        <v>153.41999999999999</v>
      </c>
      <c r="J420">
        <v>3.14</v>
      </c>
      <c r="K420">
        <v>2.8</v>
      </c>
      <c r="L420">
        <v>0.68</v>
      </c>
      <c r="M420">
        <v>1</v>
      </c>
      <c r="N420">
        <v>0</v>
      </c>
      <c r="O420" t="s">
        <v>23</v>
      </c>
    </row>
    <row r="421" spans="1:15" x14ac:dyDescent="0.35">
      <c r="A421" t="s">
        <v>15</v>
      </c>
      <c r="B421">
        <v>2013</v>
      </c>
      <c r="C421">
        <v>62</v>
      </c>
      <c r="D421" t="s">
        <v>16</v>
      </c>
      <c r="E421" t="s">
        <v>19</v>
      </c>
      <c r="F421">
        <v>6.6</v>
      </c>
      <c r="G421">
        <v>27.29</v>
      </c>
      <c r="H421">
        <v>134.88</v>
      </c>
      <c r="I421">
        <v>207.38</v>
      </c>
      <c r="J421">
        <v>7.6</v>
      </c>
      <c r="K421">
        <v>2.29</v>
      </c>
      <c r="L421">
        <v>0.56000000000000005</v>
      </c>
      <c r="M421">
        <v>1</v>
      </c>
      <c r="N421">
        <v>0</v>
      </c>
      <c r="O421" t="s">
        <v>20</v>
      </c>
    </row>
    <row r="422" spans="1:15" x14ac:dyDescent="0.35">
      <c r="A422" t="s">
        <v>15</v>
      </c>
      <c r="B422">
        <v>2013</v>
      </c>
      <c r="C422">
        <v>74</v>
      </c>
      <c r="D422" t="s">
        <v>16</v>
      </c>
      <c r="E422" t="s">
        <v>19</v>
      </c>
      <c r="F422">
        <v>7.55</v>
      </c>
      <c r="G422">
        <v>53.68</v>
      </c>
      <c r="H422">
        <v>139.85</v>
      </c>
      <c r="I422">
        <v>194.85</v>
      </c>
      <c r="J422">
        <v>3.63</v>
      </c>
      <c r="K422">
        <v>8.6300000000000008</v>
      </c>
      <c r="L422">
        <v>2.11</v>
      </c>
      <c r="M422">
        <v>1</v>
      </c>
      <c r="N422">
        <v>0</v>
      </c>
      <c r="O422" t="s">
        <v>18</v>
      </c>
    </row>
    <row r="423" spans="1:15" x14ac:dyDescent="0.35">
      <c r="A423" t="s">
        <v>15</v>
      </c>
      <c r="B423">
        <v>2013</v>
      </c>
      <c r="C423">
        <v>47</v>
      </c>
      <c r="D423" t="s">
        <v>16</v>
      </c>
      <c r="E423" t="s">
        <v>17</v>
      </c>
      <c r="F423">
        <v>6.2</v>
      </c>
      <c r="G423">
        <v>57.59</v>
      </c>
      <c r="H423">
        <v>140.66999999999999</v>
      </c>
      <c r="I423">
        <v>178.68</v>
      </c>
      <c r="J423">
        <v>3.1</v>
      </c>
      <c r="K423">
        <v>8.85</v>
      </c>
      <c r="L423">
        <v>2.16</v>
      </c>
      <c r="M423">
        <v>0</v>
      </c>
      <c r="N423">
        <v>0</v>
      </c>
      <c r="O423" t="s">
        <v>18</v>
      </c>
    </row>
    <row r="424" spans="1:15" x14ac:dyDescent="0.35">
      <c r="A424" t="s">
        <v>15</v>
      </c>
      <c r="B424">
        <v>2013</v>
      </c>
      <c r="C424">
        <v>74</v>
      </c>
      <c r="D424" t="s">
        <v>21</v>
      </c>
      <c r="E424" t="s">
        <v>19</v>
      </c>
      <c r="F424">
        <v>9.39</v>
      </c>
      <c r="G424">
        <v>42.23</v>
      </c>
      <c r="H424">
        <v>120.51</v>
      </c>
      <c r="I424">
        <v>153.41999999999999</v>
      </c>
      <c r="J424">
        <v>3.63</v>
      </c>
      <c r="K424">
        <v>8.77</v>
      </c>
      <c r="L424">
        <v>2.14</v>
      </c>
      <c r="M424">
        <v>1</v>
      </c>
      <c r="N424">
        <v>0</v>
      </c>
      <c r="O424" t="s">
        <v>23</v>
      </c>
    </row>
    <row r="425" spans="1:15" x14ac:dyDescent="0.35">
      <c r="A425" t="s">
        <v>15</v>
      </c>
      <c r="B425">
        <v>2013</v>
      </c>
      <c r="C425">
        <v>15</v>
      </c>
      <c r="D425" t="s">
        <v>16</v>
      </c>
      <c r="E425" t="s">
        <v>24</v>
      </c>
      <c r="F425">
        <v>7.03</v>
      </c>
      <c r="G425">
        <v>44.31</v>
      </c>
      <c r="H425">
        <v>110.75</v>
      </c>
      <c r="I425">
        <v>169.84</v>
      </c>
      <c r="J425">
        <v>3.83</v>
      </c>
      <c r="K425">
        <v>9.14</v>
      </c>
      <c r="L425">
        <v>2.23</v>
      </c>
      <c r="M425">
        <v>1</v>
      </c>
      <c r="N425">
        <v>0</v>
      </c>
      <c r="O425" t="s">
        <v>23</v>
      </c>
    </row>
    <row r="426" spans="1:15" x14ac:dyDescent="0.35">
      <c r="A426" t="s">
        <v>15</v>
      </c>
      <c r="B426">
        <v>2013</v>
      </c>
      <c r="C426">
        <v>19</v>
      </c>
      <c r="D426" t="s">
        <v>16</v>
      </c>
      <c r="E426" t="s">
        <v>24</v>
      </c>
      <c r="F426">
        <v>7.17</v>
      </c>
      <c r="G426">
        <v>35.5</v>
      </c>
      <c r="H426">
        <v>89.73</v>
      </c>
      <c r="I426">
        <v>219.71</v>
      </c>
      <c r="J426">
        <v>6.19</v>
      </c>
      <c r="K426">
        <v>6.79</v>
      </c>
      <c r="L426">
        <v>1.66</v>
      </c>
      <c r="M426">
        <v>1</v>
      </c>
      <c r="N426">
        <v>0</v>
      </c>
      <c r="O426" t="s">
        <v>20</v>
      </c>
    </row>
    <row r="427" spans="1:15" x14ac:dyDescent="0.35">
      <c r="A427" t="s">
        <v>15</v>
      </c>
      <c r="B427">
        <v>2013</v>
      </c>
      <c r="C427">
        <v>16</v>
      </c>
      <c r="D427" t="s">
        <v>16</v>
      </c>
      <c r="E427" t="s">
        <v>24</v>
      </c>
      <c r="F427">
        <v>7.26</v>
      </c>
      <c r="G427">
        <v>32.42</v>
      </c>
      <c r="H427">
        <v>140.41</v>
      </c>
      <c r="I427">
        <v>164.73</v>
      </c>
      <c r="J427">
        <v>5.08</v>
      </c>
      <c r="K427">
        <v>5.0199999999999996</v>
      </c>
      <c r="L427">
        <v>1.23</v>
      </c>
      <c r="M427">
        <v>1</v>
      </c>
      <c r="N427">
        <v>0</v>
      </c>
      <c r="O427" t="s">
        <v>18</v>
      </c>
    </row>
    <row r="428" spans="1:15" x14ac:dyDescent="0.35">
      <c r="A428" t="s">
        <v>15</v>
      </c>
      <c r="B428">
        <v>2013</v>
      </c>
      <c r="C428">
        <v>6</v>
      </c>
      <c r="D428" t="s">
        <v>16</v>
      </c>
      <c r="E428" t="s">
        <v>22</v>
      </c>
      <c r="F428">
        <v>7.49</v>
      </c>
      <c r="G428">
        <v>54.31</v>
      </c>
      <c r="H428">
        <v>133.15</v>
      </c>
      <c r="I428">
        <v>218.43</v>
      </c>
      <c r="J428">
        <v>4.0199999999999996</v>
      </c>
      <c r="K428">
        <v>7.33</v>
      </c>
      <c r="L428">
        <v>1.79</v>
      </c>
      <c r="M428">
        <v>1</v>
      </c>
      <c r="N428">
        <v>0</v>
      </c>
      <c r="O428" t="s">
        <v>20</v>
      </c>
    </row>
    <row r="429" spans="1:15" x14ac:dyDescent="0.35">
      <c r="A429" t="s">
        <v>15</v>
      </c>
      <c r="B429">
        <v>2013</v>
      </c>
      <c r="C429">
        <v>6</v>
      </c>
      <c r="D429" t="s">
        <v>16</v>
      </c>
      <c r="E429" t="s">
        <v>22</v>
      </c>
      <c r="F429">
        <v>5.46</v>
      </c>
      <c r="G429">
        <v>66.209999999999994</v>
      </c>
      <c r="H429">
        <v>111.49</v>
      </c>
      <c r="I429">
        <v>195.31</v>
      </c>
      <c r="J429">
        <v>2.95</v>
      </c>
      <c r="K429">
        <v>-0.27</v>
      </c>
      <c r="L429">
        <v>-7.0000000000000007E-2</v>
      </c>
      <c r="M429">
        <v>0</v>
      </c>
      <c r="N429">
        <v>0</v>
      </c>
      <c r="O429" t="s">
        <v>23</v>
      </c>
    </row>
    <row r="430" spans="1:15" x14ac:dyDescent="0.35">
      <c r="A430" t="s">
        <v>15</v>
      </c>
      <c r="B430">
        <v>2013</v>
      </c>
      <c r="C430">
        <v>53</v>
      </c>
      <c r="D430" t="s">
        <v>16</v>
      </c>
      <c r="E430" t="s">
        <v>17</v>
      </c>
      <c r="F430">
        <v>8.27</v>
      </c>
      <c r="G430">
        <v>27.36</v>
      </c>
      <c r="H430">
        <v>163.80000000000001</v>
      </c>
      <c r="I430">
        <v>131.44</v>
      </c>
      <c r="J430">
        <v>4.8</v>
      </c>
      <c r="K430">
        <v>6.34</v>
      </c>
      <c r="L430">
        <v>1.55</v>
      </c>
      <c r="M430">
        <v>1</v>
      </c>
      <c r="N430">
        <v>0</v>
      </c>
      <c r="O430" t="s">
        <v>20</v>
      </c>
    </row>
    <row r="431" spans="1:15" x14ac:dyDescent="0.35">
      <c r="A431" t="s">
        <v>15</v>
      </c>
      <c r="B431">
        <v>2013</v>
      </c>
      <c r="C431">
        <v>55</v>
      </c>
      <c r="D431" t="s">
        <v>16</v>
      </c>
      <c r="E431" t="s">
        <v>17</v>
      </c>
      <c r="F431">
        <v>7.74</v>
      </c>
      <c r="G431">
        <v>44.05</v>
      </c>
      <c r="H431">
        <v>150.53</v>
      </c>
      <c r="I431">
        <v>179.45</v>
      </c>
      <c r="J431">
        <v>4.07</v>
      </c>
      <c r="K431">
        <v>9.0299999999999994</v>
      </c>
      <c r="L431">
        <v>2.21</v>
      </c>
      <c r="M431">
        <v>1</v>
      </c>
      <c r="N431">
        <v>0</v>
      </c>
      <c r="O431" t="s">
        <v>18</v>
      </c>
    </row>
    <row r="432" spans="1:15" x14ac:dyDescent="0.35">
      <c r="A432" t="s">
        <v>15</v>
      </c>
      <c r="B432">
        <v>2013</v>
      </c>
      <c r="C432">
        <v>28</v>
      </c>
      <c r="D432" t="s">
        <v>16</v>
      </c>
      <c r="E432" t="s">
        <v>17</v>
      </c>
      <c r="F432">
        <v>6.05</v>
      </c>
      <c r="G432">
        <v>46.05</v>
      </c>
      <c r="H432">
        <v>164.45</v>
      </c>
      <c r="I432">
        <v>191.39</v>
      </c>
      <c r="J432">
        <v>4.16</v>
      </c>
      <c r="K432">
        <v>2.25</v>
      </c>
      <c r="L432">
        <v>0.55000000000000004</v>
      </c>
      <c r="M432">
        <v>0</v>
      </c>
      <c r="N432">
        <v>0</v>
      </c>
      <c r="O432" t="s">
        <v>20</v>
      </c>
    </row>
    <row r="433" spans="1:15" x14ac:dyDescent="0.35">
      <c r="A433" t="s">
        <v>15</v>
      </c>
      <c r="B433">
        <v>2013</v>
      </c>
      <c r="C433">
        <v>84</v>
      </c>
      <c r="D433" t="s">
        <v>16</v>
      </c>
      <c r="E433" t="s">
        <v>19</v>
      </c>
      <c r="F433">
        <v>9.27</v>
      </c>
      <c r="G433">
        <v>27.42</v>
      </c>
      <c r="H433">
        <v>159.79</v>
      </c>
      <c r="I433">
        <v>266.57</v>
      </c>
      <c r="J433">
        <v>9.7200000000000006</v>
      </c>
      <c r="K433">
        <v>9.27</v>
      </c>
      <c r="L433">
        <v>2.27</v>
      </c>
      <c r="M433">
        <v>1</v>
      </c>
      <c r="N433">
        <v>0</v>
      </c>
      <c r="O433" t="s">
        <v>20</v>
      </c>
    </row>
    <row r="434" spans="1:15" x14ac:dyDescent="0.35">
      <c r="A434" t="s">
        <v>15</v>
      </c>
      <c r="B434">
        <v>2013</v>
      </c>
      <c r="C434">
        <v>58</v>
      </c>
      <c r="D434" t="s">
        <v>16</v>
      </c>
      <c r="E434" t="s">
        <v>17</v>
      </c>
      <c r="F434">
        <v>7.24</v>
      </c>
      <c r="G434">
        <v>48.61</v>
      </c>
      <c r="H434">
        <v>165.68</v>
      </c>
      <c r="I434">
        <v>106.35</v>
      </c>
      <c r="J434">
        <v>2.19</v>
      </c>
      <c r="K434">
        <v>7.88</v>
      </c>
      <c r="L434">
        <v>1.93</v>
      </c>
      <c r="M434">
        <v>1</v>
      </c>
      <c r="N434">
        <v>0</v>
      </c>
      <c r="O434" t="s">
        <v>20</v>
      </c>
    </row>
    <row r="435" spans="1:15" x14ac:dyDescent="0.35">
      <c r="A435" t="s">
        <v>15</v>
      </c>
      <c r="B435">
        <v>2013</v>
      </c>
      <c r="C435">
        <v>76</v>
      </c>
      <c r="D435" t="s">
        <v>21</v>
      </c>
      <c r="E435" t="s">
        <v>19</v>
      </c>
      <c r="F435">
        <v>6.12</v>
      </c>
      <c r="G435">
        <v>36.549999999999997</v>
      </c>
      <c r="H435">
        <v>105.05</v>
      </c>
      <c r="I435">
        <v>206.5</v>
      </c>
      <c r="J435">
        <v>5.65</v>
      </c>
      <c r="K435">
        <v>8.4600000000000009</v>
      </c>
      <c r="L435">
        <v>2.0699999999999998</v>
      </c>
      <c r="M435">
        <v>0</v>
      </c>
      <c r="N435">
        <v>0</v>
      </c>
      <c r="O435" t="s">
        <v>20</v>
      </c>
    </row>
    <row r="436" spans="1:15" x14ac:dyDescent="0.35">
      <c r="A436" t="s">
        <v>15</v>
      </c>
      <c r="B436">
        <v>2013</v>
      </c>
      <c r="C436">
        <v>23</v>
      </c>
      <c r="D436" t="s">
        <v>21</v>
      </c>
      <c r="E436" t="s">
        <v>17</v>
      </c>
      <c r="F436">
        <v>6.88</v>
      </c>
      <c r="G436">
        <v>44.54</v>
      </c>
      <c r="H436">
        <v>123.7</v>
      </c>
      <c r="I436">
        <v>163.32</v>
      </c>
      <c r="J436">
        <v>3.67</v>
      </c>
      <c r="K436">
        <v>8.02</v>
      </c>
      <c r="L436">
        <v>1.96</v>
      </c>
      <c r="M436">
        <v>1</v>
      </c>
      <c r="N436">
        <v>0</v>
      </c>
      <c r="O436" t="s">
        <v>23</v>
      </c>
    </row>
    <row r="437" spans="1:15" x14ac:dyDescent="0.35">
      <c r="A437" t="s">
        <v>15</v>
      </c>
      <c r="B437">
        <v>2013</v>
      </c>
      <c r="C437">
        <v>28</v>
      </c>
      <c r="D437" t="s">
        <v>21</v>
      </c>
      <c r="E437" t="s">
        <v>17</v>
      </c>
      <c r="F437">
        <v>9.16</v>
      </c>
      <c r="G437">
        <v>43.97</v>
      </c>
      <c r="H437">
        <v>182.06</v>
      </c>
      <c r="I437">
        <v>104.62</v>
      </c>
      <c r="J437">
        <v>2.38</v>
      </c>
      <c r="K437">
        <v>7.48</v>
      </c>
      <c r="L437">
        <v>1.83</v>
      </c>
      <c r="M437">
        <v>1</v>
      </c>
      <c r="N437">
        <v>0</v>
      </c>
      <c r="O437" t="s">
        <v>20</v>
      </c>
    </row>
    <row r="438" spans="1:15" x14ac:dyDescent="0.35">
      <c r="A438" t="s">
        <v>15</v>
      </c>
      <c r="B438">
        <v>2013</v>
      </c>
      <c r="C438">
        <v>42</v>
      </c>
      <c r="D438" t="s">
        <v>21</v>
      </c>
      <c r="E438" t="s">
        <v>17</v>
      </c>
      <c r="F438">
        <v>7.48</v>
      </c>
      <c r="G438">
        <v>67.430000000000007</v>
      </c>
      <c r="H438">
        <v>169.08</v>
      </c>
      <c r="I438">
        <v>226.61</v>
      </c>
      <c r="J438">
        <v>3.36</v>
      </c>
      <c r="K438">
        <v>7.29</v>
      </c>
      <c r="L438">
        <v>1.78</v>
      </c>
      <c r="M438">
        <v>1</v>
      </c>
      <c r="N438">
        <v>0</v>
      </c>
      <c r="O438" t="s">
        <v>20</v>
      </c>
    </row>
    <row r="439" spans="1:15" x14ac:dyDescent="0.35">
      <c r="A439" t="s">
        <v>15</v>
      </c>
      <c r="B439">
        <v>2013</v>
      </c>
      <c r="C439">
        <v>78</v>
      </c>
      <c r="D439" t="s">
        <v>21</v>
      </c>
      <c r="E439" t="s">
        <v>19</v>
      </c>
      <c r="F439">
        <v>8.8800000000000008</v>
      </c>
      <c r="G439">
        <v>66.03</v>
      </c>
      <c r="H439">
        <v>159.91</v>
      </c>
      <c r="I439">
        <v>242.72</v>
      </c>
      <c r="J439">
        <v>3.68</v>
      </c>
      <c r="K439">
        <v>6.8</v>
      </c>
      <c r="L439">
        <v>1.66</v>
      </c>
      <c r="M439">
        <v>1</v>
      </c>
      <c r="N439">
        <v>0</v>
      </c>
      <c r="O439" t="s">
        <v>20</v>
      </c>
    </row>
    <row r="440" spans="1:15" x14ac:dyDescent="0.35">
      <c r="A440" t="s">
        <v>15</v>
      </c>
      <c r="B440">
        <v>2013</v>
      </c>
      <c r="C440">
        <v>21</v>
      </c>
      <c r="D440" t="s">
        <v>21</v>
      </c>
      <c r="E440" t="s">
        <v>17</v>
      </c>
      <c r="F440">
        <v>6.29</v>
      </c>
      <c r="G440">
        <v>47.05</v>
      </c>
      <c r="H440">
        <v>143.08000000000001</v>
      </c>
      <c r="I440">
        <v>167.14</v>
      </c>
      <c r="J440">
        <v>3.55</v>
      </c>
      <c r="K440">
        <v>6.43</v>
      </c>
      <c r="L440">
        <v>1.57</v>
      </c>
      <c r="M440">
        <v>0</v>
      </c>
      <c r="N440">
        <v>0</v>
      </c>
      <c r="O440" t="s">
        <v>18</v>
      </c>
    </row>
    <row r="441" spans="1:15" x14ac:dyDescent="0.35">
      <c r="A441" t="s">
        <v>15</v>
      </c>
      <c r="B441">
        <v>2013</v>
      </c>
      <c r="C441">
        <v>30</v>
      </c>
      <c r="D441" t="s">
        <v>21</v>
      </c>
      <c r="E441" t="s">
        <v>17</v>
      </c>
      <c r="F441">
        <v>8.65</v>
      </c>
      <c r="G441">
        <v>59.06</v>
      </c>
      <c r="H441">
        <v>149.81</v>
      </c>
      <c r="I441">
        <v>179.48</v>
      </c>
      <c r="J441">
        <v>3.04</v>
      </c>
      <c r="K441">
        <v>5.43</v>
      </c>
      <c r="L441">
        <v>1.33</v>
      </c>
      <c r="M441">
        <v>1</v>
      </c>
      <c r="N441">
        <v>0</v>
      </c>
      <c r="O441" t="s">
        <v>18</v>
      </c>
    </row>
    <row r="442" spans="1:15" x14ac:dyDescent="0.35">
      <c r="A442" t="s">
        <v>15</v>
      </c>
      <c r="B442">
        <v>2013</v>
      </c>
      <c r="C442">
        <v>15</v>
      </c>
      <c r="D442" t="s">
        <v>21</v>
      </c>
      <c r="E442" t="s">
        <v>24</v>
      </c>
      <c r="F442">
        <v>6.31</v>
      </c>
      <c r="G442">
        <v>62.4</v>
      </c>
      <c r="H442">
        <v>119.34</v>
      </c>
      <c r="I442">
        <v>186.32</v>
      </c>
      <c r="J442">
        <v>2.99</v>
      </c>
      <c r="K442">
        <v>5.22</v>
      </c>
      <c r="L442">
        <v>1.28</v>
      </c>
      <c r="M442">
        <v>0</v>
      </c>
      <c r="N442">
        <v>0</v>
      </c>
      <c r="O442" t="s">
        <v>23</v>
      </c>
    </row>
    <row r="443" spans="1:15" x14ac:dyDescent="0.35">
      <c r="A443" t="s">
        <v>15</v>
      </c>
      <c r="B443">
        <v>2013</v>
      </c>
      <c r="C443">
        <v>73</v>
      </c>
      <c r="D443" t="s">
        <v>21</v>
      </c>
      <c r="E443" t="s">
        <v>19</v>
      </c>
      <c r="F443">
        <v>6.19</v>
      </c>
      <c r="G443">
        <v>46.72</v>
      </c>
      <c r="H443">
        <v>129.25</v>
      </c>
      <c r="I443">
        <v>233.08</v>
      </c>
      <c r="J443">
        <v>4.99</v>
      </c>
      <c r="K443">
        <v>5</v>
      </c>
      <c r="L443">
        <v>1.22</v>
      </c>
      <c r="M443">
        <v>0</v>
      </c>
      <c r="N443">
        <v>0</v>
      </c>
      <c r="O443" t="s">
        <v>20</v>
      </c>
    </row>
    <row r="444" spans="1:15" x14ac:dyDescent="0.35">
      <c r="A444" t="s">
        <v>15</v>
      </c>
      <c r="B444">
        <v>2013</v>
      </c>
      <c r="C444">
        <v>52</v>
      </c>
      <c r="D444" t="s">
        <v>16</v>
      </c>
      <c r="E444" t="s">
        <v>17</v>
      </c>
      <c r="F444">
        <v>6.45</v>
      </c>
      <c r="G444">
        <v>47.77</v>
      </c>
      <c r="H444">
        <v>174.89</v>
      </c>
      <c r="I444">
        <v>84.4</v>
      </c>
      <c r="J444">
        <v>1.77</v>
      </c>
      <c r="K444">
        <v>13.99</v>
      </c>
      <c r="L444">
        <v>3.42</v>
      </c>
      <c r="M444">
        <v>0</v>
      </c>
      <c r="N444">
        <v>1</v>
      </c>
      <c r="O444" t="s">
        <v>20</v>
      </c>
    </row>
    <row r="445" spans="1:15" x14ac:dyDescent="0.35">
      <c r="A445" t="s">
        <v>15</v>
      </c>
      <c r="B445">
        <v>2013</v>
      </c>
      <c r="C445">
        <v>32</v>
      </c>
      <c r="D445" t="s">
        <v>21</v>
      </c>
      <c r="E445" t="s">
        <v>17</v>
      </c>
      <c r="F445">
        <v>7.51</v>
      </c>
      <c r="G445">
        <v>38.71</v>
      </c>
      <c r="H445">
        <v>161.77000000000001</v>
      </c>
      <c r="I445">
        <v>160.26</v>
      </c>
      <c r="J445">
        <v>4.1399999999999997</v>
      </c>
      <c r="K445">
        <v>4.3499999999999996</v>
      </c>
      <c r="L445">
        <v>1.06</v>
      </c>
      <c r="M445">
        <v>1</v>
      </c>
      <c r="N445">
        <v>0</v>
      </c>
      <c r="O445" t="s">
        <v>20</v>
      </c>
    </row>
    <row r="446" spans="1:15" x14ac:dyDescent="0.35">
      <c r="A446" t="s">
        <v>15</v>
      </c>
      <c r="B446">
        <v>2013</v>
      </c>
      <c r="C446">
        <v>28</v>
      </c>
      <c r="D446" t="s">
        <v>21</v>
      </c>
      <c r="E446" t="s">
        <v>17</v>
      </c>
      <c r="F446">
        <v>9.2100000000000009</v>
      </c>
      <c r="G446">
        <v>30.2</v>
      </c>
      <c r="H446">
        <v>153.27000000000001</v>
      </c>
      <c r="I446">
        <v>159.91999999999999</v>
      </c>
      <c r="J446">
        <v>5.29</v>
      </c>
      <c r="K446">
        <v>4.08</v>
      </c>
      <c r="L446">
        <v>1</v>
      </c>
      <c r="M446">
        <v>1</v>
      </c>
      <c r="N446">
        <v>0</v>
      </c>
      <c r="O446" t="s">
        <v>18</v>
      </c>
    </row>
    <row r="447" spans="1:15" x14ac:dyDescent="0.35">
      <c r="A447" t="s">
        <v>15</v>
      </c>
      <c r="B447">
        <v>2013</v>
      </c>
      <c r="C447">
        <v>4</v>
      </c>
      <c r="D447" t="s">
        <v>21</v>
      </c>
      <c r="E447" t="s">
        <v>22</v>
      </c>
      <c r="F447">
        <v>5.15</v>
      </c>
      <c r="G447">
        <v>56.98</v>
      </c>
      <c r="H447">
        <v>106.24</v>
      </c>
      <c r="I447">
        <v>176.85</v>
      </c>
      <c r="J447">
        <v>3.1</v>
      </c>
      <c r="K447">
        <v>4.04</v>
      </c>
      <c r="L447">
        <v>0.99</v>
      </c>
      <c r="M447">
        <v>0</v>
      </c>
      <c r="N447">
        <v>0</v>
      </c>
      <c r="O447" t="s">
        <v>23</v>
      </c>
    </row>
    <row r="448" spans="1:15" x14ac:dyDescent="0.35">
      <c r="A448" t="s">
        <v>15</v>
      </c>
      <c r="B448">
        <v>2013</v>
      </c>
      <c r="C448">
        <v>7</v>
      </c>
      <c r="D448" t="s">
        <v>21</v>
      </c>
      <c r="E448" t="s">
        <v>22</v>
      </c>
      <c r="F448">
        <v>7.55</v>
      </c>
      <c r="G448">
        <v>40.24</v>
      </c>
      <c r="H448">
        <v>151.63999999999999</v>
      </c>
      <c r="I448">
        <v>164.97</v>
      </c>
      <c r="J448">
        <v>4.0999999999999996</v>
      </c>
      <c r="K448">
        <v>3.93</v>
      </c>
      <c r="L448">
        <v>0.96</v>
      </c>
      <c r="M448">
        <v>1</v>
      </c>
      <c r="N448">
        <v>0</v>
      </c>
      <c r="O448" t="s">
        <v>18</v>
      </c>
    </row>
    <row r="449" spans="1:15" x14ac:dyDescent="0.35">
      <c r="A449" t="s">
        <v>15</v>
      </c>
      <c r="B449">
        <v>2013</v>
      </c>
      <c r="C449">
        <v>31</v>
      </c>
      <c r="D449" t="s">
        <v>16</v>
      </c>
      <c r="E449" t="s">
        <v>17</v>
      </c>
      <c r="F449">
        <v>7.72</v>
      </c>
      <c r="G449">
        <v>54.26</v>
      </c>
      <c r="H449">
        <v>176.02</v>
      </c>
      <c r="I449">
        <v>124.26</v>
      </c>
      <c r="J449">
        <v>2.29</v>
      </c>
      <c r="K449">
        <v>15.41</v>
      </c>
      <c r="L449">
        <v>3.77</v>
      </c>
      <c r="M449">
        <v>1</v>
      </c>
      <c r="N449">
        <v>1</v>
      </c>
      <c r="O449" t="s">
        <v>20</v>
      </c>
    </row>
    <row r="450" spans="1:15" x14ac:dyDescent="0.35">
      <c r="A450" t="s">
        <v>15</v>
      </c>
      <c r="B450">
        <v>2013</v>
      </c>
      <c r="C450">
        <v>71</v>
      </c>
      <c r="D450" t="s">
        <v>16</v>
      </c>
      <c r="E450" t="s">
        <v>19</v>
      </c>
      <c r="F450">
        <v>6.37</v>
      </c>
      <c r="G450">
        <v>34.880000000000003</v>
      </c>
      <c r="H450">
        <v>141.69</v>
      </c>
      <c r="I450">
        <v>212.25</v>
      </c>
      <c r="J450">
        <v>6.08</v>
      </c>
      <c r="K450">
        <v>15.78</v>
      </c>
      <c r="L450">
        <v>3.86</v>
      </c>
      <c r="M450">
        <v>0</v>
      </c>
      <c r="N450">
        <v>1</v>
      </c>
      <c r="O450" t="s">
        <v>20</v>
      </c>
    </row>
    <row r="451" spans="1:15" x14ac:dyDescent="0.35">
      <c r="A451" t="s">
        <v>15</v>
      </c>
      <c r="B451">
        <v>2013</v>
      </c>
      <c r="C451">
        <v>71</v>
      </c>
      <c r="D451" t="s">
        <v>21</v>
      </c>
      <c r="E451" t="s">
        <v>19</v>
      </c>
      <c r="F451">
        <v>8.7899999999999991</v>
      </c>
      <c r="G451">
        <v>53.23</v>
      </c>
      <c r="H451">
        <v>180.13</v>
      </c>
      <c r="I451">
        <v>74.38</v>
      </c>
      <c r="J451">
        <v>1.4</v>
      </c>
      <c r="K451">
        <v>2.4900000000000002</v>
      </c>
      <c r="L451">
        <v>0.61</v>
      </c>
      <c r="M451">
        <v>1</v>
      </c>
      <c r="N451">
        <v>0</v>
      </c>
      <c r="O451" t="s">
        <v>20</v>
      </c>
    </row>
    <row r="452" spans="1:15" x14ac:dyDescent="0.35">
      <c r="A452" t="s">
        <v>15</v>
      </c>
      <c r="B452">
        <v>2014</v>
      </c>
      <c r="C452">
        <v>20</v>
      </c>
      <c r="D452" t="s">
        <v>21</v>
      </c>
      <c r="E452" t="s">
        <v>17</v>
      </c>
      <c r="F452">
        <v>6.17</v>
      </c>
      <c r="G452">
        <v>33.630000000000003</v>
      </c>
      <c r="H452">
        <v>184.43</v>
      </c>
      <c r="I452">
        <v>182.52</v>
      </c>
      <c r="J452">
        <v>5.43</v>
      </c>
      <c r="K452">
        <v>11.51</v>
      </c>
      <c r="L452">
        <v>2.81</v>
      </c>
      <c r="M452">
        <v>0</v>
      </c>
      <c r="N452">
        <v>1</v>
      </c>
      <c r="O452" t="s">
        <v>20</v>
      </c>
    </row>
    <row r="453" spans="1:15" x14ac:dyDescent="0.35">
      <c r="A453" t="s">
        <v>15</v>
      </c>
      <c r="B453">
        <v>2014</v>
      </c>
      <c r="C453">
        <v>77</v>
      </c>
      <c r="D453" t="s">
        <v>21</v>
      </c>
      <c r="E453" t="s">
        <v>19</v>
      </c>
      <c r="F453">
        <v>7.56</v>
      </c>
      <c r="G453">
        <v>46.07</v>
      </c>
      <c r="H453">
        <v>176.08</v>
      </c>
      <c r="I453">
        <v>194.48</v>
      </c>
      <c r="J453">
        <v>4.22</v>
      </c>
      <c r="K453">
        <v>11.7</v>
      </c>
      <c r="L453">
        <v>2.86</v>
      </c>
      <c r="M453">
        <v>1</v>
      </c>
      <c r="N453">
        <v>1</v>
      </c>
      <c r="O453" t="s">
        <v>20</v>
      </c>
    </row>
    <row r="454" spans="1:15" x14ac:dyDescent="0.35">
      <c r="A454" t="s">
        <v>15</v>
      </c>
      <c r="B454">
        <v>2014</v>
      </c>
      <c r="C454">
        <v>75</v>
      </c>
      <c r="D454" t="s">
        <v>21</v>
      </c>
      <c r="E454" t="s">
        <v>19</v>
      </c>
      <c r="F454">
        <v>8.02</v>
      </c>
      <c r="G454">
        <v>21.7</v>
      </c>
      <c r="H454">
        <v>168.38</v>
      </c>
      <c r="I454">
        <v>125.34</v>
      </c>
      <c r="J454">
        <v>5.78</v>
      </c>
      <c r="K454">
        <v>11.9</v>
      </c>
      <c r="L454">
        <v>2.91</v>
      </c>
      <c r="M454">
        <v>1</v>
      </c>
      <c r="N454">
        <v>1</v>
      </c>
      <c r="O454" t="s">
        <v>20</v>
      </c>
    </row>
    <row r="455" spans="1:15" x14ac:dyDescent="0.35">
      <c r="A455" t="s">
        <v>15</v>
      </c>
      <c r="B455">
        <v>2014</v>
      </c>
      <c r="C455">
        <v>46</v>
      </c>
      <c r="D455" t="s">
        <v>21</v>
      </c>
      <c r="E455" t="s">
        <v>17</v>
      </c>
      <c r="F455">
        <v>7.44</v>
      </c>
      <c r="G455">
        <v>38.1</v>
      </c>
      <c r="H455">
        <v>158.01</v>
      </c>
      <c r="I455">
        <v>137.51</v>
      </c>
      <c r="J455">
        <v>3.61</v>
      </c>
      <c r="K455">
        <v>12.91</v>
      </c>
      <c r="L455">
        <v>3.16</v>
      </c>
      <c r="M455">
        <v>1</v>
      </c>
      <c r="N455">
        <v>1</v>
      </c>
      <c r="O455" t="s">
        <v>18</v>
      </c>
    </row>
    <row r="456" spans="1:15" x14ac:dyDescent="0.35">
      <c r="A456" t="s">
        <v>15</v>
      </c>
      <c r="B456">
        <v>2014</v>
      </c>
      <c r="C456">
        <v>42</v>
      </c>
      <c r="D456" t="s">
        <v>21</v>
      </c>
      <c r="E456" t="s">
        <v>17</v>
      </c>
      <c r="F456">
        <v>7.35</v>
      </c>
      <c r="G456">
        <v>56.23</v>
      </c>
      <c r="H456">
        <v>149.51</v>
      </c>
      <c r="I456">
        <v>89.34</v>
      </c>
      <c r="J456">
        <v>1.59</v>
      </c>
      <c r="K456">
        <v>13.04</v>
      </c>
      <c r="L456">
        <v>3.19</v>
      </c>
      <c r="M456">
        <v>1</v>
      </c>
      <c r="N456">
        <v>1</v>
      </c>
      <c r="O456" t="s">
        <v>18</v>
      </c>
    </row>
    <row r="457" spans="1:15" x14ac:dyDescent="0.35">
      <c r="A457" t="s">
        <v>15</v>
      </c>
      <c r="B457">
        <v>2014</v>
      </c>
      <c r="C457">
        <v>11</v>
      </c>
      <c r="D457" t="s">
        <v>16</v>
      </c>
      <c r="E457" t="s">
        <v>22</v>
      </c>
      <c r="F457">
        <v>6.87</v>
      </c>
      <c r="G457">
        <v>60.19</v>
      </c>
      <c r="H457">
        <v>101.91</v>
      </c>
      <c r="I457">
        <v>183.56</v>
      </c>
      <c r="J457">
        <v>3.05</v>
      </c>
      <c r="K457">
        <v>10.6</v>
      </c>
      <c r="L457">
        <v>2.59</v>
      </c>
      <c r="M457">
        <v>1</v>
      </c>
      <c r="N457">
        <v>1</v>
      </c>
      <c r="O457" t="s">
        <v>23</v>
      </c>
    </row>
    <row r="458" spans="1:15" x14ac:dyDescent="0.35">
      <c r="A458" t="s">
        <v>15</v>
      </c>
      <c r="B458">
        <v>2014</v>
      </c>
      <c r="C458">
        <v>67</v>
      </c>
      <c r="D458" t="s">
        <v>21</v>
      </c>
      <c r="E458" t="s">
        <v>19</v>
      </c>
      <c r="F458">
        <v>7.31</v>
      </c>
      <c r="G458">
        <v>44.08</v>
      </c>
      <c r="H458">
        <v>186.54</v>
      </c>
      <c r="I458">
        <v>261.66000000000003</v>
      </c>
      <c r="J458">
        <v>5.94</v>
      </c>
      <c r="K458">
        <v>10.34</v>
      </c>
      <c r="L458">
        <v>2.5299999999999998</v>
      </c>
      <c r="M458">
        <v>1</v>
      </c>
      <c r="N458">
        <v>1</v>
      </c>
      <c r="O458" t="s">
        <v>20</v>
      </c>
    </row>
    <row r="459" spans="1:15" x14ac:dyDescent="0.35">
      <c r="A459" t="s">
        <v>15</v>
      </c>
      <c r="B459">
        <v>2014</v>
      </c>
      <c r="C459">
        <v>18</v>
      </c>
      <c r="D459" t="s">
        <v>21</v>
      </c>
      <c r="E459" t="s">
        <v>24</v>
      </c>
      <c r="F459">
        <v>7.3</v>
      </c>
      <c r="G459">
        <v>70.97</v>
      </c>
      <c r="H459">
        <v>150.24</v>
      </c>
      <c r="I459">
        <v>172.79</v>
      </c>
      <c r="J459">
        <v>2.4300000000000002</v>
      </c>
      <c r="K459">
        <v>10.31</v>
      </c>
      <c r="L459">
        <v>2.52</v>
      </c>
      <c r="M459">
        <v>1</v>
      </c>
      <c r="N459">
        <v>1</v>
      </c>
      <c r="O459" t="s">
        <v>18</v>
      </c>
    </row>
    <row r="460" spans="1:15" x14ac:dyDescent="0.35">
      <c r="A460" t="s">
        <v>15</v>
      </c>
      <c r="B460">
        <v>2014</v>
      </c>
      <c r="C460">
        <v>54</v>
      </c>
      <c r="D460" t="s">
        <v>21</v>
      </c>
      <c r="E460" t="s">
        <v>17</v>
      </c>
      <c r="F460">
        <v>8.14</v>
      </c>
      <c r="G460">
        <v>38.380000000000003</v>
      </c>
      <c r="H460">
        <v>167.19</v>
      </c>
      <c r="I460">
        <v>256.56</v>
      </c>
      <c r="J460">
        <v>6.68</v>
      </c>
      <c r="K460">
        <v>10.07</v>
      </c>
      <c r="L460">
        <v>2.46</v>
      </c>
      <c r="M460">
        <v>1</v>
      </c>
      <c r="N460">
        <v>0</v>
      </c>
      <c r="O460" t="s">
        <v>20</v>
      </c>
    </row>
    <row r="461" spans="1:15" x14ac:dyDescent="0.35">
      <c r="A461" t="s">
        <v>15</v>
      </c>
      <c r="B461">
        <v>2014</v>
      </c>
      <c r="C461">
        <v>55</v>
      </c>
      <c r="D461" t="s">
        <v>21</v>
      </c>
      <c r="E461" t="s">
        <v>17</v>
      </c>
      <c r="F461">
        <v>8.1300000000000008</v>
      </c>
      <c r="G461">
        <v>44.49</v>
      </c>
      <c r="H461">
        <v>129.22</v>
      </c>
      <c r="I461">
        <v>111.08</v>
      </c>
      <c r="J461">
        <v>2.5</v>
      </c>
      <c r="K461">
        <v>10</v>
      </c>
      <c r="L461">
        <v>2.44</v>
      </c>
      <c r="M461">
        <v>1</v>
      </c>
      <c r="N461">
        <v>0</v>
      </c>
      <c r="O461" t="s">
        <v>23</v>
      </c>
    </row>
    <row r="462" spans="1:15" x14ac:dyDescent="0.35">
      <c r="A462" t="s">
        <v>15</v>
      </c>
      <c r="B462">
        <v>2014</v>
      </c>
      <c r="C462">
        <v>71</v>
      </c>
      <c r="D462" t="s">
        <v>21</v>
      </c>
      <c r="E462" t="s">
        <v>19</v>
      </c>
      <c r="F462">
        <v>7.37</v>
      </c>
      <c r="G462">
        <v>32.869999999999997</v>
      </c>
      <c r="H462">
        <v>166.39</v>
      </c>
      <c r="I462">
        <v>104.25</v>
      </c>
      <c r="J462">
        <v>3.17</v>
      </c>
      <c r="K462">
        <v>8.8000000000000007</v>
      </c>
      <c r="L462">
        <v>2.15</v>
      </c>
      <c r="M462">
        <v>1</v>
      </c>
      <c r="N462">
        <v>0</v>
      </c>
      <c r="O462" t="s">
        <v>20</v>
      </c>
    </row>
    <row r="463" spans="1:15" x14ac:dyDescent="0.35">
      <c r="A463" t="s">
        <v>15</v>
      </c>
      <c r="B463">
        <v>2014</v>
      </c>
      <c r="C463">
        <v>44</v>
      </c>
      <c r="D463" t="s">
        <v>16</v>
      </c>
      <c r="E463" t="s">
        <v>17</v>
      </c>
      <c r="F463">
        <v>6.81</v>
      </c>
      <c r="G463">
        <v>52.49</v>
      </c>
      <c r="H463">
        <v>183.8</v>
      </c>
      <c r="I463">
        <v>133.09</v>
      </c>
      <c r="J463">
        <v>2.54</v>
      </c>
      <c r="K463">
        <v>5.0599999999999996</v>
      </c>
      <c r="L463">
        <v>1.24</v>
      </c>
      <c r="M463">
        <v>1</v>
      </c>
      <c r="N463">
        <v>0</v>
      </c>
      <c r="O463" t="s">
        <v>20</v>
      </c>
    </row>
    <row r="464" spans="1:15" x14ac:dyDescent="0.35">
      <c r="A464" t="s">
        <v>15</v>
      </c>
      <c r="B464">
        <v>2014</v>
      </c>
      <c r="C464">
        <v>5</v>
      </c>
      <c r="D464" t="s">
        <v>16</v>
      </c>
      <c r="E464" t="s">
        <v>22</v>
      </c>
      <c r="F464">
        <v>7.6</v>
      </c>
      <c r="G464">
        <v>36.32</v>
      </c>
      <c r="H464">
        <v>134.6</v>
      </c>
      <c r="I464">
        <v>90.38</v>
      </c>
      <c r="J464">
        <v>2.4900000000000002</v>
      </c>
      <c r="K464">
        <v>6.36</v>
      </c>
      <c r="L464">
        <v>1.56</v>
      </c>
      <c r="M464">
        <v>1</v>
      </c>
      <c r="N464">
        <v>0</v>
      </c>
      <c r="O464" t="s">
        <v>18</v>
      </c>
    </row>
    <row r="465" spans="1:15" x14ac:dyDescent="0.35">
      <c r="A465" t="s">
        <v>15</v>
      </c>
      <c r="B465">
        <v>2014</v>
      </c>
      <c r="C465">
        <v>39</v>
      </c>
      <c r="D465" t="s">
        <v>16</v>
      </c>
      <c r="E465" t="s">
        <v>17</v>
      </c>
      <c r="F465">
        <v>6.29</v>
      </c>
      <c r="G465">
        <v>34.51</v>
      </c>
      <c r="H465">
        <v>127.87</v>
      </c>
      <c r="I465">
        <v>200.17</v>
      </c>
      <c r="J465">
        <v>5.8</v>
      </c>
      <c r="K465">
        <v>7.26</v>
      </c>
      <c r="L465">
        <v>1.77</v>
      </c>
      <c r="M465">
        <v>0</v>
      </c>
      <c r="N465">
        <v>0</v>
      </c>
      <c r="O465" t="s">
        <v>20</v>
      </c>
    </row>
    <row r="466" spans="1:15" x14ac:dyDescent="0.35">
      <c r="A466" t="s">
        <v>15</v>
      </c>
      <c r="B466">
        <v>2014</v>
      </c>
      <c r="C466">
        <v>22</v>
      </c>
      <c r="D466" t="s">
        <v>16</v>
      </c>
      <c r="E466" t="s">
        <v>17</v>
      </c>
      <c r="F466">
        <v>7.18</v>
      </c>
      <c r="G466">
        <v>25.96</v>
      </c>
      <c r="H466">
        <v>145.63999999999999</v>
      </c>
      <c r="I466">
        <v>203.26</v>
      </c>
      <c r="J466">
        <v>7.83</v>
      </c>
      <c r="K466">
        <v>6.9</v>
      </c>
      <c r="L466">
        <v>1.69</v>
      </c>
      <c r="M466">
        <v>1</v>
      </c>
      <c r="N466">
        <v>0</v>
      </c>
      <c r="O466" t="s">
        <v>20</v>
      </c>
    </row>
    <row r="467" spans="1:15" x14ac:dyDescent="0.35">
      <c r="A467" t="s">
        <v>15</v>
      </c>
      <c r="B467">
        <v>2014</v>
      </c>
      <c r="C467">
        <v>67</v>
      </c>
      <c r="D467" t="s">
        <v>16</v>
      </c>
      <c r="E467" t="s">
        <v>19</v>
      </c>
      <c r="F467">
        <v>8.74</v>
      </c>
      <c r="G467">
        <v>34.479999999999997</v>
      </c>
      <c r="H467">
        <v>167.59</v>
      </c>
      <c r="I467">
        <v>204.82</v>
      </c>
      <c r="J467">
        <v>5.94</v>
      </c>
      <c r="K467">
        <v>9.77</v>
      </c>
      <c r="L467">
        <v>2.39</v>
      </c>
      <c r="M467">
        <v>1</v>
      </c>
      <c r="N467">
        <v>0</v>
      </c>
      <c r="O467" t="s">
        <v>20</v>
      </c>
    </row>
    <row r="468" spans="1:15" x14ac:dyDescent="0.35">
      <c r="A468" t="s">
        <v>15</v>
      </c>
      <c r="B468">
        <v>2014</v>
      </c>
      <c r="C468">
        <v>48</v>
      </c>
      <c r="D468" t="s">
        <v>16</v>
      </c>
      <c r="E468" t="s">
        <v>17</v>
      </c>
      <c r="F468">
        <v>5.92</v>
      </c>
      <c r="G468">
        <v>38.909999999999997</v>
      </c>
      <c r="H468">
        <v>174.86</v>
      </c>
      <c r="I468">
        <v>147.26</v>
      </c>
      <c r="J468">
        <v>3.78</v>
      </c>
      <c r="K468">
        <v>9.32</v>
      </c>
      <c r="L468">
        <v>2.2799999999999998</v>
      </c>
      <c r="M468">
        <v>0</v>
      </c>
      <c r="N468">
        <v>0</v>
      </c>
      <c r="O468" t="s">
        <v>20</v>
      </c>
    </row>
    <row r="469" spans="1:15" x14ac:dyDescent="0.35">
      <c r="A469" t="s">
        <v>15</v>
      </c>
      <c r="B469">
        <v>2014</v>
      </c>
      <c r="C469">
        <v>83</v>
      </c>
      <c r="D469" t="s">
        <v>16</v>
      </c>
      <c r="E469" t="s">
        <v>19</v>
      </c>
      <c r="F469">
        <v>8.9499999999999993</v>
      </c>
      <c r="G469">
        <v>36.549999999999997</v>
      </c>
      <c r="H469">
        <v>130.33000000000001</v>
      </c>
      <c r="I469">
        <v>209</v>
      </c>
      <c r="J469">
        <v>5.72</v>
      </c>
      <c r="K469">
        <v>5.81</v>
      </c>
      <c r="L469">
        <v>1.42</v>
      </c>
      <c r="M469">
        <v>1</v>
      </c>
      <c r="N469">
        <v>0</v>
      </c>
      <c r="O469" t="s">
        <v>20</v>
      </c>
    </row>
    <row r="470" spans="1:15" x14ac:dyDescent="0.35">
      <c r="A470" t="s">
        <v>15</v>
      </c>
      <c r="B470">
        <v>2014</v>
      </c>
      <c r="C470">
        <v>24</v>
      </c>
      <c r="D470" t="s">
        <v>16</v>
      </c>
      <c r="E470" t="s">
        <v>17</v>
      </c>
      <c r="F470">
        <v>6.59</v>
      </c>
      <c r="G470">
        <v>43.58</v>
      </c>
      <c r="H470">
        <v>167.43</v>
      </c>
      <c r="I470">
        <v>146.22</v>
      </c>
      <c r="J470">
        <v>3.36</v>
      </c>
      <c r="K470">
        <v>9.5299999999999994</v>
      </c>
      <c r="L470">
        <v>2.33</v>
      </c>
      <c r="M470">
        <v>1</v>
      </c>
      <c r="N470">
        <v>0</v>
      </c>
      <c r="O470" t="s">
        <v>20</v>
      </c>
    </row>
    <row r="471" spans="1:15" x14ac:dyDescent="0.35">
      <c r="A471" t="s">
        <v>15</v>
      </c>
      <c r="B471">
        <v>2014</v>
      </c>
      <c r="C471">
        <v>42</v>
      </c>
      <c r="D471" t="s">
        <v>16</v>
      </c>
      <c r="E471" t="s">
        <v>17</v>
      </c>
      <c r="F471">
        <v>7.84</v>
      </c>
      <c r="G471">
        <v>51.59</v>
      </c>
      <c r="H471">
        <v>138.32</v>
      </c>
      <c r="I471">
        <v>143.25</v>
      </c>
      <c r="J471">
        <v>2.78</v>
      </c>
      <c r="K471">
        <v>2.04</v>
      </c>
      <c r="L471">
        <v>0.5</v>
      </c>
      <c r="M471">
        <v>1</v>
      </c>
      <c r="N471">
        <v>0</v>
      </c>
      <c r="O471" t="s">
        <v>18</v>
      </c>
    </row>
    <row r="472" spans="1:15" x14ac:dyDescent="0.35">
      <c r="A472" t="s">
        <v>15</v>
      </c>
      <c r="B472">
        <v>2014</v>
      </c>
      <c r="C472">
        <v>73</v>
      </c>
      <c r="D472" t="s">
        <v>16</v>
      </c>
      <c r="E472" t="s">
        <v>19</v>
      </c>
      <c r="F472">
        <v>9.16</v>
      </c>
      <c r="G472">
        <v>46.25</v>
      </c>
      <c r="H472">
        <v>192.69</v>
      </c>
      <c r="I472">
        <v>211.99</v>
      </c>
      <c r="J472">
        <v>4.58</v>
      </c>
      <c r="K472">
        <v>9.6999999999999993</v>
      </c>
      <c r="L472">
        <v>2.37</v>
      </c>
      <c r="M472">
        <v>1</v>
      </c>
      <c r="N472">
        <v>0</v>
      </c>
      <c r="O472" t="s">
        <v>20</v>
      </c>
    </row>
    <row r="473" spans="1:15" x14ac:dyDescent="0.35">
      <c r="A473" t="s">
        <v>15</v>
      </c>
      <c r="B473">
        <v>2014</v>
      </c>
      <c r="C473">
        <v>21</v>
      </c>
      <c r="D473" t="s">
        <v>16</v>
      </c>
      <c r="E473" t="s">
        <v>17</v>
      </c>
      <c r="F473">
        <v>8.06</v>
      </c>
      <c r="G473">
        <v>54.92</v>
      </c>
      <c r="H473">
        <v>173.84</v>
      </c>
      <c r="I473">
        <v>212.21</v>
      </c>
      <c r="J473">
        <v>3.86</v>
      </c>
      <c r="K473">
        <v>3.41</v>
      </c>
      <c r="L473">
        <v>0.83</v>
      </c>
      <c r="M473">
        <v>1</v>
      </c>
      <c r="N473">
        <v>0</v>
      </c>
      <c r="O473" t="s">
        <v>20</v>
      </c>
    </row>
    <row r="474" spans="1:15" x14ac:dyDescent="0.35">
      <c r="A474" t="s">
        <v>15</v>
      </c>
      <c r="B474">
        <v>2014</v>
      </c>
      <c r="C474">
        <v>73</v>
      </c>
      <c r="D474" t="s">
        <v>16</v>
      </c>
      <c r="E474" t="s">
        <v>19</v>
      </c>
      <c r="F474">
        <v>7.88</v>
      </c>
      <c r="G474">
        <v>40.520000000000003</v>
      </c>
      <c r="H474">
        <v>144.97</v>
      </c>
      <c r="I474">
        <v>178.08</v>
      </c>
      <c r="J474">
        <v>4.3899999999999997</v>
      </c>
      <c r="K474">
        <v>8.92</v>
      </c>
      <c r="L474">
        <v>2.1800000000000002</v>
      </c>
      <c r="M474">
        <v>1</v>
      </c>
      <c r="N474">
        <v>0</v>
      </c>
      <c r="O474" t="s">
        <v>18</v>
      </c>
    </row>
    <row r="475" spans="1:15" x14ac:dyDescent="0.35">
      <c r="A475" t="s">
        <v>15</v>
      </c>
      <c r="B475">
        <v>2014</v>
      </c>
      <c r="C475">
        <v>72</v>
      </c>
      <c r="D475" t="s">
        <v>16</v>
      </c>
      <c r="E475" t="s">
        <v>19</v>
      </c>
      <c r="F475">
        <v>7.98</v>
      </c>
      <c r="G475">
        <v>39.979999999999997</v>
      </c>
      <c r="H475">
        <v>180.7</v>
      </c>
      <c r="I475">
        <v>225.35</v>
      </c>
      <c r="J475">
        <v>5.64</v>
      </c>
      <c r="K475">
        <v>10.18</v>
      </c>
      <c r="L475">
        <v>2.4900000000000002</v>
      </c>
      <c r="M475">
        <v>1</v>
      </c>
      <c r="N475">
        <v>0</v>
      </c>
      <c r="O475" t="s">
        <v>20</v>
      </c>
    </row>
    <row r="476" spans="1:15" x14ac:dyDescent="0.35">
      <c r="A476" t="s">
        <v>15</v>
      </c>
      <c r="B476">
        <v>2014</v>
      </c>
      <c r="C476">
        <v>82</v>
      </c>
      <c r="D476" t="s">
        <v>16</v>
      </c>
      <c r="E476" t="s">
        <v>19</v>
      </c>
      <c r="F476">
        <v>10.02</v>
      </c>
      <c r="G476">
        <v>57.92</v>
      </c>
      <c r="H476">
        <v>198.55</v>
      </c>
      <c r="I476">
        <v>228.83</v>
      </c>
      <c r="J476">
        <v>3.95</v>
      </c>
      <c r="K476">
        <v>7.93</v>
      </c>
      <c r="L476">
        <v>1.94</v>
      </c>
      <c r="M476">
        <v>1</v>
      </c>
      <c r="N476">
        <v>0</v>
      </c>
      <c r="O476" t="s">
        <v>20</v>
      </c>
    </row>
    <row r="477" spans="1:15" x14ac:dyDescent="0.35">
      <c r="A477" t="s">
        <v>15</v>
      </c>
      <c r="B477">
        <v>2014</v>
      </c>
      <c r="C477">
        <v>8</v>
      </c>
      <c r="D477" t="s">
        <v>16</v>
      </c>
      <c r="E477" t="s">
        <v>22</v>
      </c>
      <c r="F477">
        <v>6.45</v>
      </c>
      <c r="G477">
        <v>38.43</v>
      </c>
      <c r="H477">
        <v>152.49</v>
      </c>
      <c r="I477">
        <v>282.79000000000002</v>
      </c>
      <c r="J477">
        <v>7.36</v>
      </c>
      <c r="K477">
        <v>7.12</v>
      </c>
      <c r="L477">
        <v>1.74</v>
      </c>
      <c r="M477">
        <v>0</v>
      </c>
      <c r="N477">
        <v>0</v>
      </c>
      <c r="O477" t="s">
        <v>20</v>
      </c>
    </row>
    <row r="478" spans="1:15" x14ac:dyDescent="0.35">
      <c r="A478" t="s">
        <v>15</v>
      </c>
      <c r="B478">
        <v>2014</v>
      </c>
      <c r="C478">
        <v>26</v>
      </c>
      <c r="D478" t="s">
        <v>21</v>
      </c>
      <c r="E478" t="s">
        <v>17</v>
      </c>
      <c r="F478">
        <v>7.75</v>
      </c>
      <c r="G478">
        <v>46.33</v>
      </c>
      <c r="H478">
        <v>126.32</v>
      </c>
      <c r="I478">
        <v>172.73</v>
      </c>
      <c r="J478">
        <v>3.73</v>
      </c>
      <c r="K478">
        <v>8.33</v>
      </c>
      <c r="L478">
        <v>2.04</v>
      </c>
      <c r="M478">
        <v>1</v>
      </c>
      <c r="N478">
        <v>0</v>
      </c>
      <c r="O478" t="s">
        <v>23</v>
      </c>
    </row>
    <row r="479" spans="1:15" x14ac:dyDescent="0.35">
      <c r="A479" t="s">
        <v>15</v>
      </c>
      <c r="B479">
        <v>2014</v>
      </c>
      <c r="C479">
        <v>12</v>
      </c>
      <c r="D479" t="s">
        <v>16</v>
      </c>
      <c r="E479" t="s">
        <v>22</v>
      </c>
      <c r="F479">
        <v>8.69</v>
      </c>
      <c r="G479">
        <v>51.83</v>
      </c>
      <c r="H479">
        <v>144.63</v>
      </c>
      <c r="I479">
        <v>212.92</v>
      </c>
      <c r="J479">
        <v>4.1100000000000003</v>
      </c>
      <c r="K479">
        <v>3.15</v>
      </c>
      <c r="L479">
        <v>0.77</v>
      </c>
      <c r="M479">
        <v>1</v>
      </c>
      <c r="N479">
        <v>0</v>
      </c>
      <c r="O479" t="s">
        <v>20</v>
      </c>
    </row>
    <row r="480" spans="1:15" x14ac:dyDescent="0.35">
      <c r="A480" t="s">
        <v>15</v>
      </c>
      <c r="B480">
        <v>2014</v>
      </c>
      <c r="C480">
        <v>17</v>
      </c>
      <c r="D480" t="s">
        <v>21</v>
      </c>
      <c r="E480" t="s">
        <v>24</v>
      </c>
      <c r="F480">
        <v>6.78</v>
      </c>
      <c r="G480">
        <v>52.15</v>
      </c>
      <c r="H480">
        <v>165.15</v>
      </c>
      <c r="I480">
        <v>167.04</v>
      </c>
      <c r="J480">
        <v>3.2</v>
      </c>
      <c r="K480">
        <v>8.33</v>
      </c>
      <c r="L480">
        <v>2.04</v>
      </c>
      <c r="M480">
        <v>1</v>
      </c>
      <c r="N480">
        <v>0</v>
      </c>
      <c r="O480" t="s">
        <v>20</v>
      </c>
    </row>
    <row r="481" spans="1:15" x14ac:dyDescent="0.35">
      <c r="A481" t="s">
        <v>15</v>
      </c>
      <c r="B481">
        <v>2014</v>
      </c>
      <c r="C481">
        <v>58</v>
      </c>
      <c r="D481" t="s">
        <v>16</v>
      </c>
      <c r="E481" t="s">
        <v>17</v>
      </c>
      <c r="F481">
        <v>7.23</v>
      </c>
      <c r="G481">
        <v>53.12</v>
      </c>
      <c r="H481">
        <v>159.69999999999999</v>
      </c>
      <c r="I481">
        <v>250.96</v>
      </c>
      <c r="J481">
        <v>4.72</v>
      </c>
      <c r="K481">
        <v>8.6199999999999992</v>
      </c>
      <c r="L481">
        <v>2.11</v>
      </c>
      <c r="M481">
        <v>1</v>
      </c>
      <c r="N481">
        <v>0</v>
      </c>
      <c r="O481" t="s">
        <v>20</v>
      </c>
    </row>
    <row r="482" spans="1:15" x14ac:dyDescent="0.35">
      <c r="A482" t="s">
        <v>15</v>
      </c>
      <c r="B482">
        <v>2014</v>
      </c>
      <c r="C482">
        <v>24</v>
      </c>
      <c r="D482" t="s">
        <v>16</v>
      </c>
      <c r="E482" t="s">
        <v>17</v>
      </c>
      <c r="F482">
        <v>7.86</v>
      </c>
      <c r="G482">
        <v>53.82</v>
      </c>
      <c r="H482">
        <v>146.05000000000001</v>
      </c>
      <c r="I482">
        <v>251.89</v>
      </c>
      <c r="J482">
        <v>4.68</v>
      </c>
      <c r="K482">
        <v>10</v>
      </c>
      <c r="L482">
        <v>2.4500000000000002</v>
      </c>
      <c r="M482">
        <v>1</v>
      </c>
      <c r="N482">
        <v>0</v>
      </c>
      <c r="O482" t="s">
        <v>20</v>
      </c>
    </row>
    <row r="483" spans="1:15" x14ac:dyDescent="0.35">
      <c r="A483" t="s">
        <v>15</v>
      </c>
      <c r="B483">
        <v>2014</v>
      </c>
      <c r="C483">
        <v>45</v>
      </c>
      <c r="D483" t="s">
        <v>16</v>
      </c>
      <c r="E483" t="s">
        <v>17</v>
      </c>
      <c r="F483">
        <v>7.97</v>
      </c>
      <c r="G483">
        <v>28.36</v>
      </c>
      <c r="H483">
        <v>151.13</v>
      </c>
      <c r="I483">
        <v>266.5</v>
      </c>
      <c r="J483">
        <v>9.4</v>
      </c>
      <c r="K483">
        <v>8.91</v>
      </c>
      <c r="L483">
        <v>2.1800000000000002</v>
      </c>
      <c r="M483">
        <v>1</v>
      </c>
      <c r="N483">
        <v>0</v>
      </c>
      <c r="O483" t="s">
        <v>20</v>
      </c>
    </row>
    <row r="484" spans="1:15" x14ac:dyDescent="0.35">
      <c r="A484" t="s">
        <v>15</v>
      </c>
      <c r="B484">
        <v>2014</v>
      </c>
      <c r="C484">
        <v>36</v>
      </c>
      <c r="D484" t="s">
        <v>16</v>
      </c>
      <c r="E484" t="s">
        <v>17</v>
      </c>
      <c r="F484">
        <v>7.49</v>
      </c>
      <c r="G484">
        <v>39.880000000000003</v>
      </c>
      <c r="H484">
        <v>170.75</v>
      </c>
      <c r="I484">
        <v>107.03</v>
      </c>
      <c r="J484">
        <v>2.68</v>
      </c>
      <c r="K484">
        <v>11.52</v>
      </c>
      <c r="L484">
        <v>2.82</v>
      </c>
      <c r="M484">
        <v>1</v>
      </c>
      <c r="N484">
        <v>1</v>
      </c>
      <c r="O484" t="s">
        <v>20</v>
      </c>
    </row>
    <row r="485" spans="1:15" x14ac:dyDescent="0.35">
      <c r="A485" t="s">
        <v>15</v>
      </c>
      <c r="B485">
        <v>2014</v>
      </c>
      <c r="C485">
        <v>55</v>
      </c>
      <c r="D485" t="s">
        <v>16</v>
      </c>
      <c r="E485" t="s">
        <v>17</v>
      </c>
      <c r="F485">
        <v>6.75</v>
      </c>
      <c r="G485">
        <v>41.67</v>
      </c>
      <c r="H485">
        <v>134.58000000000001</v>
      </c>
      <c r="I485">
        <v>252.75</v>
      </c>
      <c r="J485">
        <v>6.07</v>
      </c>
      <c r="K485">
        <v>11.6</v>
      </c>
      <c r="L485">
        <v>2.84</v>
      </c>
      <c r="M485">
        <v>1</v>
      </c>
      <c r="N485">
        <v>1</v>
      </c>
      <c r="O485" t="s">
        <v>20</v>
      </c>
    </row>
    <row r="486" spans="1:15" x14ac:dyDescent="0.35">
      <c r="A486" t="s">
        <v>15</v>
      </c>
      <c r="B486">
        <v>2014</v>
      </c>
      <c r="C486">
        <v>18</v>
      </c>
      <c r="D486" t="s">
        <v>21</v>
      </c>
      <c r="E486" t="s">
        <v>24</v>
      </c>
      <c r="F486">
        <v>6.92</v>
      </c>
      <c r="G486">
        <v>42.11</v>
      </c>
      <c r="H486">
        <v>139.52000000000001</v>
      </c>
      <c r="I486">
        <v>156.97</v>
      </c>
      <c r="J486">
        <v>3.73</v>
      </c>
      <c r="K486">
        <v>7.91</v>
      </c>
      <c r="L486">
        <v>1.93</v>
      </c>
      <c r="M486">
        <v>1</v>
      </c>
      <c r="N486">
        <v>0</v>
      </c>
      <c r="O486" t="s">
        <v>18</v>
      </c>
    </row>
    <row r="487" spans="1:15" x14ac:dyDescent="0.35">
      <c r="A487" t="s">
        <v>15</v>
      </c>
      <c r="B487">
        <v>2014</v>
      </c>
      <c r="C487">
        <v>36</v>
      </c>
      <c r="D487" t="s">
        <v>21</v>
      </c>
      <c r="E487" t="s">
        <v>17</v>
      </c>
      <c r="F487">
        <v>8.41</v>
      </c>
      <c r="G487">
        <v>34.51</v>
      </c>
      <c r="H487">
        <v>173.03</v>
      </c>
      <c r="I487">
        <v>168.22</v>
      </c>
      <c r="J487">
        <v>4.87</v>
      </c>
      <c r="K487">
        <v>7.91</v>
      </c>
      <c r="L487">
        <v>1.93</v>
      </c>
      <c r="M487">
        <v>1</v>
      </c>
      <c r="N487">
        <v>0</v>
      </c>
      <c r="O487" t="s">
        <v>20</v>
      </c>
    </row>
    <row r="488" spans="1:15" x14ac:dyDescent="0.35">
      <c r="A488" t="s">
        <v>15</v>
      </c>
      <c r="B488">
        <v>2014</v>
      </c>
      <c r="C488">
        <v>42</v>
      </c>
      <c r="D488" t="s">
        <v>16</v>
      </c>
      <c r="E488" t="s">
        <v>17</v>
      </c>
      <c r="F488">
        <v>7.3</v>
      </c>
      <c r="G488">
        <v>31.75</v>
      </c>
      <c r="H488">
        <v>148.94999999999999</v>
      </c>
      <c r="I488">
        <v>107.48</v>
      </c>
      <c r="J488">
        <v>3.38</v>
      </c>
      <c r="K488">
        <v>11.77</v>
      </c>
      <c r="L488">
        <v>2.88</v>
      </c>
      <c r="M488">
        <v>1</v>
      </c>
      <c r="N488">
        <v>1</v>
      </c>
      <c r="O488" t="s">
        <v>18</v>
      </c>
    </row>
    <row r="489" spans="1:15" x14ac:dyDescent="0.35">
      <c r="A489" t="s">
        <v>15</v>
      </c>
      <c r="B489">
        <v>2014</v>
      </c>
      <c r="C489">
        <v>49</v>
      </c>
      <c r="D489" t="s">
        <v>21</v>
      </c>
      <c r="E489" t="s">
        <v>17</v>
      </c>
      <c r="F489">
        <v>6.63</v>
      </c>
      <c r="G489">
        <v>61.48</v>
      </c>
      <c r="H489">
        <v>131.31</v>
      </c>
      <c r="I489">
        <v>92.72</v>
      </c>
      <c r="J489">
        <v>1.51</v>
      </c>
      <c r="K489">
        <v>7.63</v>
      </c>
      <c r="L489">
        <v>1.86</v>
      </c>
      <c r="M489">
        <v>1</v>
      </c>
      <c r="N489">
        <v>0</v>
      </c>
      <c r="O489" t="s">
        <v>18</v>
      </c>
    </row>
    <row r="490" spans="1:15" x14ac:dyDescent="0.35">
      <c r="A490" t="s">
        <v>15</v>
      </c>
      <c r="B490">
        <v>2014</v>
      </c>
      <c r="C490">
        <v>20</v>
      </c>
      <c r="D490" t="s">
        <v>21</v>
      </c>
      <c r="E490" t="s">
        <v>17</v>
      </c>
      <c r="F490">
        <v>7.56</v>
      </c>
      <c r="G490">
        <v>34.82</v>
      </c>
      <c r="H490">
        <v>163.86</v>
      </c>
      <c r="I490">
        <v>184.47</v>
      </c>
      <c r="J490">
        <v>5.3</v>
      </c>
      <c r="K490">
        <v>7.41</v>
      </c>
      <c r="L490">
        <v>1.81</v>
      </c>
      <c r="M490">
        <v>1</v>
      </c>
      <c r="N490">
        <v>0</v>
      </c>
      <c r="O490" t="s">
        <v>20</v>
      </c>
    </row>
    <row r="491" spans="1:15" x14ac:dyDescent="0.35">
      <c r="A491" t="s">
        <v>15</v>
      </c>
      <c r="B491">
        <v>2014</v>
      </c>
      <c r="C491">
        <v>64</v>
      </c>
      <c r="D491" t="s">
        <v>21</v>
      </c>
      <c r="E491" t="s">
        <v>19</v>
      </c>
      <c r="F491">
        <v>7.71</v>
      </c>
      <c r="G491">
        <v>51.92</v>
      </c>
      <c r="H491">
        <v>126.02</v>
      </c>
      <c r="I491">
        <v>262.22000000000003</v>
      </c>
      <c r="J491">
        <v>5.05</v>
      </c>
      <c r="K491">
        <v>7.04</v>
      </c>
      <c r="L491">
        <v>1.72</v>
      </c>
      <c r="M491">
        <v>1</v>
      </c>
      <c r="N491">
        <v>0</v>
      </c>
      <c r="O491" t="s">
        <v>20</v>
      </c>
    </row>
    <row r="492" spans="1:15" x14ac:dyDescent="0.35">
      <c r="A492" t="s">
        <v>15</v>
      </c>
      <c r="B492">
        <v>2014</v>
      </c>
      <c r="C492">
        <v>14</v>
      </c>
      <c r="D492" t="s">
        <v>21</v>
      </c>
      <c r="E492" t="s">
        <v>24</v>
      </c>
      <c r="F492">
        <v>7.71</v>
      </c>
      <c r="G492">
        <v>65.98</v>
      </c>
      <c r="H492">
        <v>170.83</v>
      </c>
      <c r="I492">
        <v>301.17</v>
      </c>
      <c r="J492">
        <v>4.5599999999999996</v>
      </c>
      <c r="K492">
        <v>6.74</v>
      </c>
      <c r="L492">
        <v>1.65</v>
      </c>
      <c r="M492">
        <v>1</v>
      </c>
      <c r="N492">
        <v>0</v>
      </c>
      <c r="O492" t="s">
        <v>20</v>
      </c>
    </row>
    <row r="493" spans="1:15" x14ac:dyDescent="0.35">
      <c r="A493" t="s">
        <v>15</v>
      </c>
      <c r="B493">
        <v>2014</v>
      </c>
      <c r="C493">
        <v>6</v>
      </c>
      <c r="D493" t="s">
        <v>21</v>
      </c>
      <c r="E493" t="s">
        <v>22</v>
      </c>
      <c r="F493">
        <v>7.08</v>
      </c>
      <c r="G493">
        <v>38.25</v>
      </c>
      <c r="H493">
        <v>121.42</v>
      </c>
      <c r="I493">
        <v>121.65</v>
      </c>
      <c r="J493">
        <v>3.18</v>
      </c>
      <c r="K493">
        <v>6.52</v>
      </c>
      <c r="L493">
        <v>1.59</v>
      </c>
      <c r="M493">
        <v>1</v>
      </c>
      <c r="N493">
        <v>0</v>
      </c>
      <c r="O493" t="s">
        <v>23</v>
      </c>
    </row>
    <row r="494" spans="1:15" x14ac:dyDescent="0.35">
      <c r="A494" t="s">
        <v>15</v>
      </c>
      <c r="B494">
        <v>2014</v>
      </c>
      <c r="C494">
        <v>45</v>
      </c>
      <c r="D494" t="s">
        <v>16</v>
      </c>
      <c r="E494" t="s">
        <v>17</v>
      </c>
      <c r="F494">
        <v>9.61</v>
      </c>
      <c r="G494">
        <v>41.42</v>
      </c>
      <c r="H494">
        <v>169.2</v>
      </c>
      <c r="I494">
        <v>178.7</v>
      </c>
      <c r="J494">
        <v>4.3099999999999996</v>
      </c>
      <c r="K494">
        <v>12.83</v>
      </c>
      <c r="L494">
        <v>3.14</v>
      </c>
      <c r="M494">
        <v>1</v>
      </c>
      <c r="N494">
        <v>1</v>
      </c>
      <c r="O494" t="s">
        <v>20</v>
      </c>
    </row>
    <row r="495" spans="1:15" x14ac:dyDescent="0.35">
      <c r="A495" t="s">
        <v>15</v>
      </c>
      <c r="B495">
        <v>2014</v>
      </c>
      <c r="C495">
        <v>68</v>
      </c>
      <c r="D495" t="s">
        <v>21</v>
      </c>
      <c r="E495" t="s">
        <v>19</v>
      </c>
      <c r="F495">
        <v>6.57</v>
      </c>
      <c r="G495">
        <v>37.28</v>
      </c>
      <c r="H495">
        <v>143.41999999999999</v>
      </c>
      <c r="I495">
        <v>216.87</v>
      </c>
      <c r="J495">
        <v>5.82</v>
      </c>
      <c r="K495">
        <v>5.76</v>
      </c>
      <c r="L495">
        <v>1.41</v>
      </c>
      <c r="M495">
        <v>1</v>
      </c>
      <c r="N495">
        <v>0</v>
      </c>
      <c r="O495" t="s">
        <v>20</v>
      </c>
    </row>
    <row r="496" spans="1:15" x14ac:dyDescent="0.35">
      <c r="A496" t="s">
        <v>15</v>
      </c>
      <c r="B496">
        <v>2014</v>
      </c>
      <c r="C496">
        <v>37</v>
      </c>
      <c r="D496" t="s">
        <v>21</v>
      </c>
      <c r="E496" t="s">
        <v>17</v>
      </c>
      <c r="F496">
        <v>7.03</v>
      </c>
      <c r="G496">
        <v>48.97</v>
      </c>
      <c r="H496">
        <v>150.1</v>
      </c>
      <c r="I496">
        <v>255.72</v>
      </c>
      <c r="J496">
        <v>5.22</v>
      </c>
      <c r="K496">
        <v>5.14</v>
      </c>
      <c r="L496">
        <v>1.26</v>
      </c>
      <c r="M496">
        <v>1</v>
      </c>
      <c r="N496">
        <v>0</v>
      </c>
      <c r="O496" t="s">
        <v>20</v>
      </c>
    </row>
    <row r="497" spans="1:15" x14ac:dyDescent="0.35">
      <c r="A497" t="s">
        <v>15</v>
      </c>
      <c r="B497">
        <v>2014</v>
      </c>
      <c r="C497">
        <v>6</v>
      </c>
      <c r="D497" t="s">
        <v>21</v>
      </c>
      <c r="E497" t="s">
        <v>22</v>
      </c>
      <c r="F497">
        <v>5.97</v>
      </c>
      <c r="G497">
        <v>36.049999999999997</v>
      </c>
      <c r="H497">
        <v>178.73</v>
      </c>
      <c r="I497">
        <v>156.31</v>
      </c>
      <c r="J497">
        <v>4.34</v>
      </c>
      <c r="K497">
        <v>4.49</v>
      </c>
      <c r="L497">
        <v>1.1000000000000001</v>
      </c>
      <c r="M497">
        <v>0</v>
      </c>
      <c r="N497">
        <v>0</v>
      </c>
      <c r="O497" t="s">
        <v>20</v>
      </c>
    </row>
    <row r="498" spans="1:15" x14ac:dyDescent="0.35">
      <c r="A498" t="s">
        <v>15</v>
      </c>
      <c r="B498">
        <v>2014</v>
      </c>
      <c r="C498">
        <v>81</v>
      </c>
      <c r="D498" t="s">
        <v>16</v>
      </c>
      <c r="E498" t="s">
        <v>19</v>
      </c>
      <c r="F498">
        <v>9.6300000000000008</v>
      </c>
      <c r="G498">
        <v>41.04</v>
      </c>
      <c r="H498">
        <v>132.22999999999999</v>
      </c>
      <c r="I498">
        <v>179.05</v>
      </c>
      <c r="J498">
        <v>4.3600000000000003</v>
      </c>
      <c r="K498">
        <v>14.52</v>
      </c>
      <c r="L498">
        <v>3.55</v>
      </c>
      <c r="M498">
        <v>1</v>
      </c>
      <c r="N498">
        <v>1</v>
      </c>
      <c r="O498" t="s">
        <v>18</v>
      </c>
    </row>
    <row r="499" spans="1:15" x14ac:dyDescent="0.35">
      <c r="A499" t="s">
        <v>15</v>
      </c>
      <c r="B499">
        <v>2014</v>
      </c>
      <c r="C499">
        <v>74</v>
      </c>
      <c r="D499" t="s">
        <v>16</v>
      </c>
      <c r="E499" t="s">
        <v>19</v>
      </c>
      <c r="F499">
        <v>7.53</v>
      </c>
      <c r="G499">
        <v>46.86</v>
      </c>
      <c r="H499">
        <v>140.69999999999999</v>
      </c>
      <c r="I499">
        <v>182.57</v>
      </c>
      <c r="J499">
        <v>3.9</v>
      </c>
      <c r="K499">
        <v>14.79</v>
      </c>
      <c r="L499">
        <v>3.61</v>
      </c>
      <c r="M499">
        <v>1</v>
      </c>
      <c r="N499">
        <v>1</v>
      </c>
      <c r="O499" t="s">
        <v>18</v>
      </c>
    </row>
    <row r="500" spans="1:15" x14ac:dyDescent="0.35">
      <c r="A500" t="s">
        <v>15</v>
      </c>
      <c r="B500">
        <v>2014</v>
      </c>
      <c r="C500">
        <v>84</v>
      </c>
      <c r="D500" t="s">
        <v>16</v>
      </c>
      <c r="E500" t="s">
        <v>19</v>
      </c>
      <c r="F500">
        <v>8.08</v>
      </c>
      <c r="G500">
        <v>32.29</v>
      </c>
      <c r="H500">
        <v>148.47</v>
      </c>
      <c r="I500">
        <v>141.13</v>
      </c>
      <c r="J500">
        <v>4.37</v>
      </c>
      <c r="K500">
        <v>16.739999999999998</v>
      </c>
      <c r="L500">
        <v>4.09</v>
      </c>
      <c r="M500">
        <v>1</v>
      </c>
      <c r="N500">
        <v>1</v>
      </c>
      <c r="O500" t="s">
        <v>18</v>
      </c>
    </row>
    <row r="501" spans="1:15" x14ac:dyDescent="0.35">
      <c r="A501" t="s">
        <v>15</v>
      </c>
      <c r="B501">
        <v>2014</v>
      </c>
      <c r="C501">
        <v>13</v>
      </c>
      <c r="D501" t="s">
        <v>21</v>
      </c>
      <c r="E501" t="s">
        <v>24</v>
      </c>
      <c r="F501">
        <v>6.95</v>
      </c>
      <c r="G501">
        <v>44.05</v>
      </c>
      <c r="H501">
        <v>152.41</v>
      </c>
      <c r="I501">
        <v>207.9</v>
      </c>
      <c r="J501">
        <v>4.72</v>
      </c>
      <c r="K501">
        <v>1.33</v>
      </c>
      <c r="L501">
        <v>0.33</v>
      </c>
      <c r="M501">
        <v>1</v>
      </c>
      <c r="N501">
        <v>0</v>
      </c>
      <c r="O501" t="s">
        <v>20</v>
      </c>
    </row>
    <row r="502" spans="1:15" x14ac:dyDescent="0.35">
      <c r="A502" t="s">
        <v>15</v>
      </c>
      <c r="B502">
        <v>2015</v>
      </c>
      <c r="C502">
        <v>21</v>
      </c>
      <c r="D502" t="s">
        <v>21</v>
      </c>
      <c r="E502" t="s">
        <v>17</v>
      </c>
      <c r="F502">
        <v>5.56</v>
      </c>
      <c r="G502">
        <v>62.57</v>
      </c>
      <c r="H502">
        <v>156.83000000000001</v>
      </c>
      <c r="I502">
        <v>294.72000000000003</v>
      </c>
      <c r="J502">
        <v>4.71</v>
      </c>
      <c r="K502">
        <v>12.7</v>
      </c>
      <c r="L502">
        <v>3.1</v>
      </c>
      <c r="M502">
        <v>0</v>
      </c>
      <c r="N502">
        <v>1</v>
      </c>
      <c r="O502" t="s">
        <v>20</v>
      </c>
    </row>
    <row r="503" spans="1:15" x14ac:dyDescent="0.35">
      <c r="A503" t="s">
        <v>15</v>
      </c>
      <c r="B503">
        <v>2015</v>
      </c>
      <c r="C503">
        <v>43</v>
      </c>
      <c r="D503" t="s">
        <v>21</v>
      </c>
      <c r="E503" t="s">
        <v>17</v>
      </c>
      <c r="F503">
        <v>9.0500000000000007</v>
      </c>
      <c r="G503">
        <v>41.8</v>
      </c>
      <c r="H503">
        <v>167.51</v>
      </c>
      <c r="I503">
        <v>156.34</v>
      </c>
      <c r="J503">
        <v>3.74</v>
      </c>
      <c r="K503">
        <v>14.39</v>
      </c>
      <c r="L503">
        <v>3.52</v>
      </c>
      <c r="M503">
        <v>1</v>
      </c>
      <c r="N503">
        <v>1</v>
      </c>
      <c r="O503" t="s">
        <v>20</v>
      </c>
    </row>
    <row r="504" spans="1:15" x14ac:dyDescent="0.35">
      <c r="A504" t="s">
        <v>15</v>
      </c>
      <c r="B504">
        <v>2015</v>
      </c>
      <c r="C504">
        <v>85</v>
      </c>
      <c r="D504" t="s">
        <v>21</v>
      </c>
      <c r="E504" t="s">
        <v>19</v>
      </c>
      <c r="F504">
        <v>9.44</v>
      </c>
      <c r="G504">
        <v>38.75</v>
      </c>
      <c r="H504">
        <v>181.51</v>
      </c>
      <c r="I504">
        <v>251.16</v>
      </c>
      <c r="J504">
        <v>6.48</v>
      </c>
      <c r="K504">
        <v>14.43</v>
      </c>
      <c r="L504">
        <v>3.53</v>
      </c>
      <c r="M504">
        <v>1</v>
      </c>
      <c r="N504">
        <v>1</v>
      </c>
      <c r="O504" t="s">
        <v>20</v>
      </c>
    </row>
    <row r="505" spans="1:15" x14ac:dyDescent="0.35">
      <c r="A505" t="s">
        <v>15</v>
      </c>
      <c r="B505">
        <v>2015</v>
      </c>
      <c r="C505">
        <v>70</v>
      </c>
      <c r="D505" t="s">
        <v>21</v>
      </c>
      <c r="E505" t="s">
        <v>19</v>
      </c>
      <c r="F505">
        <v>7.96</v>
      </c>
      <c r="G505">
        <v>38.82</v>
      </c>
      <c r="H505">
        <v>162.6</v>
      </c>
      <c r="I505">
        <v>138.1</v>
      </c>
      <c r="J505">
        <v>3.56</v>
      </c>
      <c r="K505">
        <v>15.86</v>
      </c>
      <c r="L505">
        <v>3.88</v>
      </c>
      <c r="M505">
        <v>1</v>
      </c>
      <c r="N505">
        <v>1</v>
      </c>
      <c r="O505" t="s">
        <v>20</v>
      </c>
    </row>
    <row r="506" spans="1:15" x14ac:dyDescent="0.35">
      <c r="A506" t="s">
        <v>15</v>
      </c>
      <c r="B506">
        <v>2015</v>
      </c>
      <c r="C506">
        <v>66</v>
      </c>
      <c r="D506" t="s">
        <v>21</v>
      </c>
      <c r="E506" t="s">
        <v>19</v>
      </c>
      <c r="F506">
        <v>8.68</v>
      </c>
      <c r="G506">
        <v>38.29</v>
      </c>
      <c r="H506">
        <v>177.15</v>
      </c>
      <c r="I506">
        <v>171.42</v>
      </c>
      <c r="J506">
        <v>4.4800000000000004</v>
      </c>
      <c r="K506">
        <v>16.54</v>
      </c>
      <c r="L506">
        <v>4.04</v>
      </c>
      <c r="M506">
        <v>1</v>
      </c>
      <c r="N506">
        <v>1</v>
      </c>
      <c r="O506" t="s">
        <v>20</v>
      </c>
    </row>
    <row r="507" spans="1:15" x14ac:dyDescent="0.35">
      <c r="A507" t="s">
        <v>15</v>
      </c>
      <c r="B507">
        <v>2015</v>
      </c>
      <c r="C507">
        <v>25</v>
      </c>
      <c r="D507" t="s">
        <v>21</v>
      </c>
      <c r="E507" t="s">
        <v>17</v>
      </c>
      <c r="F507">
        <v>8.82</v>
      </c>
      <c r="G507">
        <v>42.39</v>
      </c>
      <c r="H507">
        <v>157.53</v>
      </c>
      <c r="I507">
        <v>267.93</v>
      </c>
      <c r="J507">
        <v>6.32</v>
      </c>
      <c r="K507">
        <v>10.95</v>
      </c>
      <c r="L507">
        <v>2.68</v>
      </c>
      <c r="M507">
        <v>1</v>
      </c>
      <c r="N507">
        <v>1</v>
      </c>
      <c r="O507" t="s">
        <v>20</v>
      </c>
    </row>
    <row r="508" spans="1:15" x14ac:dyDescent="0.35">
      <c r="A508" t="s">
        <v>15</v>
      </c>
      <c r="B508">
        <v>2015</v>
      </c>
      <c r="C508">
        <v>24</v>
      </c>
      <c r="D508" t="s">
        <v>21</v>
      </c>
      <c r="E508" t="s">
        <v>17</v>
      </c>
      <c r="F508">
        <v>6.13</v>
      </c>
      <c r="G508">
        <v>33.950000000000003</v>
      </c>
      <c r="H508">
        <v>198.82</v>
      </c>
      <c r="I508">
        <v>192.5</v>
      </c>
      <c r="J508">
        <v>5.67</v>
      </c>
      <c r="K508">
        <v>10.45</v>
      </c>
      <c r="L508">
        <v>2.5499999999999998</v>
      </c>
      <c r="M508">
        <v>0</v>
      </c>
      <c r="N508">
        <v>1</v>
      </c>
      <c r="O508" t="s">
        <v>20</v>
      </c>
    </row>
    <row r="509" spans="1:15" x14ac:dyDescent="0.35">
      <c r="A509" t="s">
        <v>15</v>
      </c>
      <c r="B509">
        <v>2015</v>
      </c>
      <c r="C509">
        <v>13</v>
      </c>
      <c r="D509" t="s">
        <v>21</v>
      </c>
      <c r="E509" t="s">
        <v>24</v>
      </c>
      <c r="F509">
        <v>6.59</v>
      </c>
      <c r="G509">
        <v>56.91</v>
      </c>
      <c r="H509">
        <v>154.56</v>
      </c>
      <c r="I509">
        <v>167.04</v>
      </c>
      <c r="J509">
        <v>2.94</v>
      </c>
      <c r="K509">
        <v>9.51</v>
      </c>
      <c r="L509">
        <v>2.3199999999999998</v>
      </c>
      <c r="M509">
        <v>1</v>
      </c>
      <c r="N509">
        <v>0</v>
      </c>
      <c r="O509" t="s">
        <v>18</v>
      </c>
    </row>
    <row r="510" spans="1:15" x14ac:dyDescent="0.35">
      <c r="A510" t="s">
        <v>15</v>
      </c>
      <c r="B510">
        <v>2015</v>
      </c>
      <c r="C510">
        <v>69</v>
      </c>
      <c r="D510" t="s">
        <v>16</v>
      </c>
      <c r="E510" t="s">
        <v>19</v>
      </c>
      <c r="F510">
        <v>7.44</v>
      </c>
      <c r="G510">
        <v>39.53</v>
      </c>
      <c r="H510">
        <v>156.83000000000001</v>
      </c>
      <c r="I510">
        <v>89.96</v>
      </c>
      <c r="J510">
        <v>2.2799999999999998</v>
      </c>
      <c r="K510">
        <v>11.13</v>
      </c>
      <c r="L510">
        <v>2.72</v>
      </c>
      <c r="M510">
        <v>1</v>
      </c>
      <c r="N510">
        <v>1</v>
      </c>
      <c r="O510" t="s">
        <v>18</v>
      </c>
    </row>
    <row r="511" spans="1:15" x14ac:dyDescent="0.35">
      <c r="A511" t="s">
        <v>15</v>
      </c>
      <c r="B511">
        <v>2015</v>
      </c>
      <c r="C511">
        <v>30</v>
      </c>
      <c r="D511" t="s">
        <v>21</v>
      </c>
      <c r="E511" t="s">
        <v>17</v>
      </c>
      <c r="F511">
        <v>7.42</v>
      </c>
      <c r="G511">
        <v>34.65</v>
      </c>
      <c r="H511">
        <v>123.76</v>
      </c>
      <c r="I511">
        <v>217.58</v>
      </c>
      <c r="J511">
        <v>6.28</v>
      </c>
      <c r="K511">
        <v>9.4</v>
      </c>
      <c r="L511">
        <v>2.2999999999999998</v>
      </c>
      <c r="M511">
        <v>1</v>
      </c>
      <c r="N511">
        <v>0</v>
      </c>
      <c r="O511" t="s">
        <v>20</v>
      </c>
    </row>
    <row r="512" spans="1:15" x14ac:dyDescent="0.35">
      <c r="A512" t="s">
        <v>15</v>
      </c>
      <c r="B512">
        <v>2015</v>
      </c>
      <c r="C512">
        <v>63</v>
      </c>
      <c r="D512" t="s">
        <v>21</v>
      </c>
      <c r="E512" t="s">
        <v>19</v>
      </c>
      <c r="F512">
        <v>9.18</v>
      </c>
      <c r="G512">
        <v>37.19</v>
      </c>
      <c r="H512">
        <v>156.57</v>
      </c>
      <c r="I512">
        <v>294.20999999999998</v>
      </c>
      <c r="J512">
        <v>7.91</v>
      </c>
      <c r="K512">
        <v>9.33</v>
      </c>
      <c r="L512">
        <v>2.2799999999999998</v>
      </c>
      <c r="M512">
        <v>1</v>
      </c>
      <c r="N512">
        <v>0</v>
      </c>
      <c r="O512" t="s">
        <v>20</v>
      </c>
    </row>
    <row r="513" spans="1:15" x14ac:dyDescent="0.35">
      <c r="A513" t="s">
        <v>15</v>
      </c>
      <c r="B513">
        <v>2015</v>
      </c>
      <c r="C513">
        <v>83</v>
      </c>
      <c r="D513" t="s">
        <v>21</v>
      </c>
      <c r="E513" t="s">
        <v>19</v>
      </c>
      <c r="F513">
        <v>8.84</v>
      </c>
      <c r="G513">
        <v>44.78</v>
      </c>
      <c r="H513">
        <v>164.38</v>
      </c>
      <c r="I513">
        <v>232.85</v>
      </c>
      <c r="J513">
        <v>5.2</v>
      </c>
      <c r="K513">
        <v>9.09</v>
      </c>
      <c r="L513">
        <v>2.2200000000000002</v>
      </c>
      <c r="M513">
        <v>1</v>
      </c>
      <c r="N513">
        <v>0</v>
      </c>
      <c r="O513" t="s">
        <v>20</v>
      </c>
    </row>
    <row r="514" spans="1:15" x14ac:dyDescent="0.35">
      <c r="A514" t="s">
        <v>15</v>
      </c>
      <c r="B514">
        <v>2015</v>
      </c>
      <c r="C514">
        <v>2</v>
      </c>
      <c r="D514" t="s">
        <v>21</v>
      </c>
      <c r="E514" t="s">
        <v>22</v>
      </c>
      <c r="F514">
        <v>6.14</v>
      </c>
      <c r="G514">
        <v>27.73</v>
      </c>
      <c r="H514">
        <v>139.68</v>
      </c>
      <c r="I514">
        <v>299.81</v>
      </c>
      <c r="J514">
        <v>10.81</v>
      </c>
      <c r="K514">
        <v>9.08</v>
      </c>
      <c r="L514">
        <v>2.2200000000000002</v>
      </c>
      <c r="M514">
        <v>0</v>
      </c>
      <c r="N514">
        <v>0</v>
      </c>
      <c r="O514" t="s">
        <v>20</v>
      </c>
    </row>
    <row r="515" spans="1:15" x14ac:dyDescent="0.35">
      <c r="A515" t="s">
        <v>15</v>
      </c>
      <c r="B515">
        <v>2015</v>
      </c>
      <c r="C515">
        <v>63</v>
      </c>
      <c r="D515" t="s">
        <v>21</v>
      </c>
      <c r="E515" t="s">
        <v>19</v>
      </c>
      <c r="F515">
        <v>8.68</v>
      </c>
      <c r="G515">
        <v>62.67</v>
      </c>
      <c r="H515">
        <v>126.08</v>
      </c>
      <c r="I515">
        <v>209.01</v>
      </c>
      <c r="J515">
        <v>3.33</v>
      </c>
      <c r="K515">
        <v>8.6300000000000008</v>
      </c>
      <c r="L515">
        <v>2.11</v>
      </c>
      <c r="M515">
        <v>1</v>
      </c>
      <c r="N515">
        <v>0</v>
      </c>
      <c r="O515" t="s">
        <v>20</v>
      </c>
    </row>
    <row r="516" spans="1:15" x14ac:dyDescent="0.35">
      <c r="A516" t="s">
        <v>15</v>
      </c>
      <c r="B516">
        <v>2015</v>
      </c>
      <c r="C516">
        <v>2</v>
      </c>
      <c r="D516" t="s">
        <v>21</v>
      </c>
      <c r="E516" t="s">
        <v>22</v>
      </c>
      <c r="F516">
        <v>3.93</v>
      </c>
      <c r="G516">
        <v>60.06</v>
      </c>
      <c r="H516">
        <v>133.93</v>
      </c>
      <c r="I516">
        <v>170.02</v>
      </c>
      <c r="J516">
        <v>2.83</v>
      </c>
      <c r="K516">
        <v>8.6300000000000008</v>
      </c>
      <c r="L516">
        <v>2.11</v>
      </c>
      <c r="M516">
        <v>0</v>
      </c>
      <c r="N516">
        <v>0</v>
      </c>
      <c r="O516" t="s">
        <v>18</v>
      </c>
    </row>
    <row r="517" spans="1:15" x14ac:dyDescent="0.35">
      <c r="A517" t="s">
        <v>15</v>
      </c>
      <c r="B517">
        <v>2015</v>
      </c>
      <c r="C517">
        <v>11</v>
      </c>
      <c r="D517" t="s">
        <v>21</v>
      </c>
      <c r="E517" t="s">
        <v>22</v>
      </c>
      <c r="F517">
        <v>7.75</v>
      </c>
      <c r="G517">
        <v>44.75</v>
      </c>
      <c r="H517">
        <v>178.95</v>
      </c>
      <c r="I517">
        <v>129.88999999999999</v>
      </c>
      <c r="J517">
        <v>2.9</v>
      </c>
      <c r="K517">
        <v>8.61</v>
      </c>
      <c r="L517">
        <v>2.1</v>
      </c>
      <c r="M517">
        <v>1</v>
      </c>
      <c r="N517">
        <v>0</v>
      </c>
      <c r="O517" t="s">
        <v>20</v>
      </c>
    </row>
    <row r="518" spans="1:15" x14ac:dyDescent="0.35">
      <c r="A518" t="s">
        <v>15</v>
      </c>
      <c r="B518">
        <v>2015</v>
      </c>
      <c r="C518">
        <v>19</v>
      </c>
      <c r="D518" t="s">
        <v>21</v>
      </c>
      <c r="E518" t="s">
        <v>24</v>
      </c>
      <c r="F518">
        <v>5.7</v>
      </c>
      <c r="G518">
        <v>38.96</v>
      </c>
      <c r="H518">
        <v>139.75</v>
      </c>
      <c r="I518">
        <v>171.14</v>
      </c>
      <c r="J518">
        <v>4.3899999999999997</v>
      </c>
      <c r="K518">
        <v>8.39</v>
      </c>
      <c r="L518">
        <v>2.0499999999999998</v>
      </c>
      <c r="M518">
        <v>0</v>
      </c>
      <c r="N518">
        <v>0</v>
      </c>
      <c r="O518" t="s">
        <v>18</v>
      </c>
    </row>
    <row r="519" spans="1:15" x14ac:dyDescent="0.35">
      <c r="A519" t="s">
        <v>15</v>
      </c>
      <c r="B519">
        <v>2015</v>
      </c>
      <c r="C519">
        <v>37</v>
      </c>
      <c r="D519" t="s">
        <v>16</v>
      </c>
      <c r="E519" t="s">
        <v>17</v>
      </c>
      <c r="F519">
        <v>7.18</v>
      </c>
      <c r="G519">
        <v>54.15</v>
      </c>
      <c r="H519">
        <v>115.32</v>
      </c>
      <c r="I519">
        <v>187.57</v>
      </c>
      <c r="J519">
        <v>3.46</v>
      </c>
      <c r="K519">
        <v>6.26</v>
      </c>
      <c r="L519">
        <v>1.53</v>
      </c>
      <c r="M519">
        <v>1</v>
      </c>
      <c r="N519">
        <v>0</v>
      </c>
      <c r="O519" t="s">
        <v>23</v>
      </c>
    </row>
    <row r="520" spans="1:15" x14ac:dyDescent="0.35">
      <c r="A520" t="s">
        <v>15</v>
      </c>
      <c r="B520">
        <v>2015</v>
      </c>
      <c r="C520">
        <v>65</v>
      </c>
      <c r="D520" t="s">
        <v>16</v>
      </c>
      <c r="E520" t="s">
        <v>19</v>
      </c>
      <c r="F520">
        <v>7.85</v>
      </c>
      <c r="G520">
        <v>45.69</v>
      </c>
      <c r="H520">
        <v>187.38</v>
      </c>
      <c r="I520">
        <v>206.1</v>
      </c>
      <c r="J520">
        <v>4.51</v>
      </c>
      <c r="K520">
        <v>7.3</v>
      </c>
      <c r="L520">
        <v>1.78</v>
      </c>
      <c r="M520">
        <v>1</v>
      </c>
      <c r="N520">
        <v>0</v>
      </c>
      <c r="O520" t="s">
        <v>20</v>
      </c>
    </row>
    <row r="521" spans="1:15" x14ac:dyDescent="0.35">
      <c r="A521" t="s">
        <v>15</v>
      </c>
      <c r="B521">
        <v>2015</v>
      </c>
      <c r="C521">
        <v>22</v>
      </c>
      <c r="D521" t="s">
        <v>16</v>
      </c>
      <c r="E521" t="s">
        <v>17</v>
      </c>
      <c r="F521">
        <v>6.42</v>
      </c>
      <c r="G521">
        <v>21.14</v>
      </c>
      <c r="H521">
        <v>120.89</v>
      </c>
      <c r="I521">
        <v>180.66</v>
      </c>
      <c r="J521">
        <v>8.5500000000000007</v>
      </c>
      <c r="K521">
        <v>2.98</v>
      </c>
      <c r="L521">
        <v>0.73</v>
      </c>
      <c r="M521">
        <v>0</v>
      </c>
      <c r="N521">
        <v>0</v>
      </c>
      <c r="O521" t="s">
        <v>23</v>
      </c>
    </row>
    <row r="522" spans="1:15" x14ac:dyDescent="0.35">
      <c r="A522" t="s">
        <v>15</v>
      </c>
      <c r="B522">
        <v>2015</v>
      </c>
      <c r="C522">
        <v>77</v>
      </c>
      <c r="D522" t="s">
        <v>16</v>
      </c>
      <c r="E522" t="s">
        <v>19</v>
      </c>
      <c r="F522">
        <v>7.86</v>
      </c>
      <c r="G522">
        <v>49.31</v>
      </c>
      <c r="H522">
        <v>136.61000000000001</v>
      </c>
      <c r="I522">
        <v>158.69</v>
      </c>
      <c r="J522">
        <v>3.22</v>
      </c>
      <c r="K522">
        <v>8.99</v>
      </c>
      <c r="L522">
        <v>2.2000000000000002</v>
      </c>
      <c r="M522">
        <v>1</v>
      </c>
      <c r="N522">
        <v>0</v>
      </c>
      <c r="O522" t="s">
        <v>18</v>
      </c>
    </row>
    <row r="523" spans="1:15" x14ac:dyDescent="0.35">
      <c r="A523" t="s">
        <v>15</v>
      </c>
      <c r="B523">
        <v>2015</v>
      </c>
      <c r="C523">
        <v>42</v>
      </c>
      <c r="D523" t="s">
        <v>16</v>
      </c>
      <c r="E523" t="s">
        <v>17</v>
      </c>
      <c r="F523">
        <v>6.67</v>
      </c>
      <c r="G523">
        <v>44.98</v>
      </c>
      <c r="H523">
        <v>159.59</v>
      </c>
      <c r="I523">
        <v>140.62</v>
      </c>
      <c r="J523">
        <v>3.13</v>
      </c>
      <c r="K523">
        <v>8.92</v>
      </c>
      <c r="L523">
        <v>2.1800000000000002</v>
      </c>
      <c r="M523">
        <v>1</v>
      </c>
      <c r="N523">
        <v>0</v>
      </c>
      <c r="O523" t="s">
        <v>18</v>
      </c>
    </row>
    <row r="524" spans="1:15" x14ac:dyDescent="0.35">
      <c r="A524" t="s">
        <v>15</v>
      </c>
      <c r="B524">
        <v>2015</v>
      </c>
      <c r="C524">
        <v>31</v>
      </c>
      <c r="D524" t="s">
        <v>16</v>
      </c>
      <c r="E524" t="s">
        <v>17</v>
      </c>
      <c r="F524">
        <v>8.33</v>
      </c>
      <c r="G524">
        <v>48.98</v>
      </c>
      <c r="H524">
        <v>146.9</v>
      </c>
      <c r="I524">
        <v>158.85</v>
      </c>
      <c r="J524">
        <v>3.24</v>
      </c>
      <c r="K524">
        <v>8.4</v>
      </c>
      <c r="L524">
        <v>2.0499999999999998</v>
      </c>
      <c r="M524">
        <v>1</v>
      </c>
      <c r="N524">
        <v>0</v>
      </c>
      <c r="O524" t="s">
        <v>18</v>
      </c>
    </row>
    <row r="525" spans="1:15" x14ac:dyDescent="0.35">
      <c r="A525" t="s">
        <v>15</v>
      </c>
      <c r="B525">
        <v>2015</v>
      </c>
      <c r="C525">
        <v>69</v>
      </c>
      <c r="D525" t="s">
        <v>16</v>
      </c>
      <c r="E525" t="s">
        <v>19</v>
      </c>
      <c r="F525">
        <v>8.7100000000000009</v>
      </c>
      <c r="G525">
        <v>32.67</v>
      </c>
      <c r="H525">
        <v>109.63</v>
      </c>
      <c r="I525">
        <v>130.93</v>
      </c>
      <c r="J525">
        <v>4.01</v>
      </c>
      <c r="K525">
        <v>8.25</v>
      </c>
      <c r="L525">
        <v>2.02</v>
      </c>
      <c r="M525">
        <v>1</v>
      </c>
      <c r="N525">
        <v>0</v>
      </c>
      <c r="O525" t="s">
        <v>23</v>
      </c>
    </row>
    <row r="526" spans="1:15" x14ac:dyDescent="0.35">
      <c r="A526" t="s">
        <v>15</v>
      </c>
      <c r="B526">
        <v>2015</v>
      </c>
      <c r="C526">
        <v>78</v>
      </c>
      <c r="D526" t="s">
        <v>16</v>
      </c>
      <c r="E526" t="s">
        <v>19</v>
      </c>
      <c r="F526">
        <v>8.6199999999999992</v>
      </c>
      <c r="G526">
        <v>43.1</v>
      </c>
      <c r="H526">
        <v>191.48</v>
      </c>
      <c r="I526">
        <v>230.23</v>
      </c>
      <c r="J526">
        <v>5.34</v>
      </c>
      <c r="K526">
        <v>3</v>
      </c>
      <c r="L526">
        <v>0.73</v>
      </c>
      <c r="M526">
        <v>1</v>
      </c>
      <c r="N526">
        <v>0</v>
      </c>
      <c r="O526" t="s">
        <v>20</v>
      </c>
    </row>
    <row r="527" spans="1:15" x14ac:dyDescent="0.35">
      <c r="A527" t="s">
        <v>15</v>
      </c>
      <c r="B527">
        <v>2015</v>
      </c>
      <c r="C527">
        <v>79</v>
      </c>
      <c r="D527" t="s">
        <v>16</v>
      </c>
      <c r="E527" t="s">
        <v>19</v>
      </c>
      <c r="F527">
        <v>9.69</v>
      </c>
      <c r="G527">
        <v>44.22</v>
      </c>
      <c r="H527">
        <v>165.03</v>
      </c>
      <c r="I527">
        <v>230.64</v>
      </c>
      <c r="J527">
        <v>5.22</v>
      </c>
      <c r="K527">
        <v>5.09</v>
      </c>
      <c r="L527">
        <v>1.24</v>
      </c>
      <c r="M527">
        <v>1</v>
      </c>
      <c r="N527">
        <v>0</v>
      </c>
      <c r="O527" t="s">
        <v>20</v>
      </c>
    </row>
    <row r="528" spans="1:15" x14ac:dyDescent="0.35">
      <c r="A528" t="s">
        <v>15</v>
      </c>
      <c r="B528">
        <v>2015</v>
      </c>
      <c r="C528">
        <v>17</v>
      </c>
      <c r="D528" t="s">
        <v>16</v>
      </c>
      <c r="E528" t="s">
        <v>24</v>
      </c>
      <c r="F528">
        <v>6.94</v>
      </c>
      <c r="G528">
        <v>41.34</v>
      </c>
      <c r="H528">
        <v>110.12</v>
      </c>
      <c r="I528">
        <v>140.71</v>
      </c>
      <c r="J528">
        <v>3.4</v>
      </c>
      <c r="K528">
        <v>3.91</v>
      </c>
      <c r="L528">
        <v>0.96</v>
      </c>
      <c r="M528">
        <v>1</v>
      </c>
      <c r="N528">
        <v>0</v>
      </c>
      <c r="O528" t="s">
        <v>23</v>
      </c>
    </row>
    <row r="529" spans="1:15" x14ac:dyDescent="0.35">
      <c r="A529" t="s">
        <v>15</v>
      </c>
      <c r="B529">
        <v>2015</v>
      </c>
      <c r="C529">
        <v>13</v>
      </c>
      <c r="D529" t="s">
        <v>16</v>
      </c>
      <c r="E529" t="s">
        <v>24</v>
      </c>
      <c r="F529">
        <v>7.14</v>
      </c>
      <c r="G529">
        <v>60.87</v>
      </c>
      <c r="H529">
        <v>148.43</v>
      </c>
      <c r="I529">
        <v>169.46</v>
      </c>
      <c r="J529">
        <v>2.78</v>
      </c>
      <c r="K529">
        <v>5.7</v>
      </c>
      <c r="L529">
        <v>1.39</v>
      </c>
      <c r="M529">
        <v>1</v>
      </c>
      <c r="N529">
        <v>0</v>
      </c>
      <c r="O529" t="s">
        <v>18</v>
      </c>
    </row>
    <row r="530" spans="1:15" x14ac:dyDescent="0.35">
      <c r="A530" t="s">
        <v>15</v>
      </c>
      <c r="B530">
        <v>2015</v>
      </c>
      <c r="C530">
        <v>7</v>
      </c>
      <c r="D530" t="s">
        <v>16</v>
      </c>
      <c r="E530" t="s">
        <v>22</v>
      </c>
      <c r="F530">
        <v>7.42</v>
      </c>
      <c r="G530">
        <v>41</v>
      </c>
      <c r="H530">
        <v>175.9</v>
      </c>
      <c r="I530">
        <v>190.95</v>
      </c>
      <c r="J530">
        <v>4.66</v>
      </c>
      <c r="K530">
        <v>7.53</v>
      </c>
      <c r="L530">
        <v>1.84</v>
      </c>
      <c r="M530">
        <v>1</v>
      </c>
      <c r="N530">
        <v>0</v>
      </c>
      <c r="O530" t="s">
        <v>20</v>
      </c>
    </row>
    <row r="531" spans="1:15" x14ac:dyDescent="0.35">
      <c r="A531" t="s">
        <v>15</v>
      </c>
      <c r="B531">
        <v>2015</v>
      </c>
      <c r="C531">
        <v>5</v>
      </c>
      <c r="D531" t="s">
        <v>16</v>
      </c>
      <c r="E531" t="s">
        <v>22</v>
      </c>
      <c r="F531">
        <v>5.79</v>
      </c>
      <c r="G531">
        <v>70.84</v>
      </c>
      <c r="H531">
        <v>134.01</v>
      </c>
      <c r="I531">
        <v>241.27</v>
      </c>
      <c r="J531">
        <v>3.41</v>
      </c>
      <c r="K531">
        <v>7.38</v>
      </c>
      <c r="L531">
        <v>1.8</v>
      </c>
      <c r="M531">
        <v>0</v>
      </c>
      <c r="N531">
        <v>0</v>
      </c>
      <c r="O531" t="s">
        <v>20</v>
      </c>
    </row>
    <row r="532" spans="1:15" x14ac:dyDescent="0.35">
      <c r="A532" t="s">
        <v>15</v>
      </c>
      <c r="B532">
        <v>2015</v>
      </c>
      <c r="C532">
        <v>3</v>
      </c>
      <c r="D532" t="s">
        <v>16</v>
      </c>
      <c r="E532" t="s">
        <v>22</v>
      </c>
      <c r="F532">
        <v>5.85</v>
      </c>
      <c r="G532">
        <v>54.5</v>
      </c>
      <c r="H532">
        <v>113.68</v>
      </c>
      <c r="I532">
        <v>185.21</v>
      </c>
      <c r="J532">
        <v>3.4</v>
      </c>
      <c r="K532">
        <v>3.04</v>
      </c>
      <c r="L532">
        <v>0.74</v>
      </c>
      <c r="M532">
        <v>0</v>
      </c>
      <c r="N532">
        <v>0</v>
      </c>
      <c r="O532" t="s">
        <v>23</v>
      </c>
    </row>
    <row r="533" spans="1:15" x14ac:dyDescent="0.35">
      <c r="A533" t="s">
        <v>15</v>
      </c>
      <c r="B533">
        <v>2015</v>
      </c>
      <c r="C533">
        <v>2</v>
      </c>
      <c r="D533" t="s">
        <v>16</v>
      </c>
      <c r="E533" t="s">
        <v>22</v>
      </c>
      <c r="F533">
        <v>7.92</v>
      </c>
      <c r="G533">
        <v>49.97</v>
      </c>
      <c r="H533">
        <v>115.29</v>
      </c>
      <c r="I533">
        <v>153.88999999999999</v>
      </c>
      <c r="J533">
        <v>3.08</v>
      </c>
      <c r="K533">
        <v>2.5499999999999998</v>
      </c>
      <c r="L533">
        <v>0.62</v>
      </c>
      <c r="M533">
        <v>1</v>
      </c>
      <c r="N533">
        <v>0</v>
      </c>
      <c r="O533" t="s">
        <v>23</v>
      </c>
    </row>
    <row r="534" spans="1:15" x14ac:dyDescent="0.35">
      <c r="A534" t="s">
        <v>15</v>
      </c>
      <c r="B534">
        <v>2015</v>
      </c>
      <c r="C534">
        <v>20</v>
      </c>
      <c r="D534" t="s">
        <v>16</v>
      </c>
      <c r="E534" t="s">
        <v>17</v>
      </c>
      <c r="F534">
        <v>7.88</v>
      </c>
      <c r="G534">
        <v>35.49</v>
      </c>
      <c r="H534">
        <v>116.26</v>
      </c>
      <c r="I534">
        <v>128.32</v>
      </c>
      <c r="J534">
        <v>3.62</v>
      </c>
      <c r="K534">
        <v>2.88</v>
      </c>
      <c r="L534">
        <v>0.7</v>
      </c>
      <c r="M534">
        <v>1</v>
      </c>
      <c r="N534">
        <v>0</v>
      </c>
      <c r="O534" t="s">
        <v>23</v>
      </c>
    </row>
    <row r="535" spans="1:15" x14ac:dyDescent="0.35">
      <c r="A535" t="s">
        <v>15</v>
      </c>
      <c r="B535">
        <v>2015</v>
      </c>
      <c r="C535">
        <v>21</v>
      </c>
      <c r="D535" t="s">
        <v>16</v>
      </c>
      <c r="E535" t="s">
        <v>17</v>
      </c>
      <c r="F535">
        <v>6.89</v>
      </c>
      <c r="G535">
        <v>41.81</v>
      </c>
      <c r="H535">
        <v>151.04</v>
      </c>
      <c r="I535">
        <v>284.83</v>
      </c>
      <c r="J535">
        <v>6.81</v>
      </c>
      <c r="K535">
        <v>3.94</v>
      </c>
      <c r="L535">
        <v>0.96</v>
      </c>
      <c r="M535">
        <v>1</v>
      </c>
      <c r="N535">
        <v>0</v>
      </c>
      <c r="O535" t="s">
        <v>20</v>
      </c>
    </row>
    <row r="536" spans="1:15" x14ac:dyDescent="0.35">
      <c r="A536" t="s">
        <v>15</v>
      </c>
      <c r="B536">
        <v>2015</v>
      </c>
      <c r="C536">
        <v>55</v>
      </c>
      <c r="D536" t="s">
        <v>21</v>
      </c>
      <c r="E536" t="s">
        <v>17</v>
      </c>
      <c r="F536">
        <v>8.44</v>
      </c>
      <c r="G536">
        <v>50.86</v>
      </c>
      <c r="H536">
        <v>167.79</v>
      </c>
      <c r="I536">
        <v>152.18</v>
      </c>
      <c r="J536">
        <v>2.99</v>
      </c>
      <c r="K536">
        <v>7.79</v>
      </c>
      <c r="L536">
        <v>1.9</v>
      </c>
      <c r="M536">
        <v>1</v>
      </c>
      <c r="N536">
        <v>0</v>
      </c>
      <c r="O536" t="s">
        <v>20</v>
      </c>
    </row>
    <row r="537" spans="1:15" x14ac:dyDescent="0.35">
      <c r="A537" t="s">
        <v>15</v>
      </c>
      <c r="B537">
        <v>2015</v>
      </c>
      <c r="C537">
        <v>46</v>
      </c>
      <c r="D537" t="s">
        <v>16</v>
      </c>
      <c r="E537" t="s">
        <v>17</v>
      </c>
      <c r="F537">
        <v>7.56</v>
      </c>
      <c r="G537">
        <v>44.42</v>
      </c>
      <c r="H537">
        <v>198.47</v>
      </c>
      <c r="I537">
        <v>180.46</v>
      </c>
      <c r="J537">
        <v>4.0599999999999996</v>
      </c>
      <c r="K537">
        <v>8.57</v>
      </c>
      <c r="L537">
        <v>2.1</v>
      </c>
      <c r="M537">
        <v>1</v>
      </c>
      <c r="N537">
        <v>0</v>
      </c>
      <c r="O537" t="s">
        <v>20</v>
      </c>
    </row>
    <row r="538" spans="1:15" x14ac:dyDescent="0.35">
      <c r="A538" t="s">
        <v>15</v>
      </c>
      <c r="B538">
        <v>2015</v>
      </c>
      <c r="C538">
        <v>10</v>
      </c>
      <c r="D538" t="s">
        <v>16</v>
      </c>
      <c r="E538" t="s">
        <v>22</v>
      </c>
      <c r="F538">
        <v>7.71</v>
      </c>
      <c r="G538">
        <v>66.16</v>
      </c>
      <c r="H538">
        <v>153.57</v>
      </c>
      <c r="I538">
        <v>100.76</v>
      </c>
      <c r="J538">
        <v>1.52</v>
      </c>
      <c r="K538">
        <v>8.11</v>
      </c>
      <c r="L538">
        <v>1.98</v>
      </c>
      <c r="M538">
        <v>1</v>
      </c>
      <c r="N538">
        <v>0</v>
      </c>
      <c r="O538" t="s">
        <v>18</v>
      </c>
    </row>
    <row r="539" spans="1:15" x14ac:dyDescent="0.35">
      <c r="A539" t="s">
        <v>15</v>
      </c>
      <c r="B539">
        <v>2015</v>
      </c>
      <c r="C539">
        <v>3</v>
      </c>
      <c r="D539" t="s">
        <v>16</v>
      </c>
      <c r="E539" t="s">
        <v>22</v>
      </c>
      <c r="F539">
        <v>6.5</v>
      </c>
      <c r="G539">
        <v>60.7</v>
      </c>
      <c r="H539">
        <v>168.36</v>
      </c>
      <c r="I539">
        <v>90.66</v>
      </c>
      <c r="J539">
        <v>1.49</v>
      </c>
      <c r="K539">
        <v>4.75</v>
      </c>
      <c r="L539">
        <v>1.1599999999999999</v>
      </c>
      <c r="M539">
        <v>0</v>
      </c>
      <c r="N539">
        <v>0</v>
      </c>
      <c r="O539" t="s">
        <v>20</v>
      </c>
    </row>
    <row r="540" spans="1:15" x14ac:dyDescent="0.35">
      <c r="A540" t="s">
        <v>15</v>
      </c>
      <c r="B540">
        <v>2015</v>
      </c>
      <c r="C540">
        <v>29</v>
      </c>
      <c r="D540" t="s">
        <v>21</v>
      </c>
      <c r="E540" t="s">
        <v>17</v>
      </c>
      <c r="F540">
        <v>7.86</v>
      </c>
      <c r="G540">
        <v>59.69</v>
      </c>
      <c r="H540">
        <v>178.95</v>
      </c>
      <c r="I540">
        <v>149.75</v>
      </c>
      <c r="J540">
        <v>2.5099999999999998</v>
      </c>
      <c r="K540">
        <v>6.63</v>
      </c>
      <c r="L540">
        <v>1.62</v>
      </c>
      <c r="M540">
        <v>1</v>
      </c>
      <c r="N540">
        <v>0</v>
      </c>
      <c r="O540" t="s">
        <v>20</v>
      </c>
    </row>
    <row r="541" spans="1:15" x14ac:dyDescent="0.35">
      <c r="A541" t="s">
        <v>15</v>
      </c>
      <c r="B541">
        <v>2015</v>
      </c>
      <c r="C541">
        <v>81</v>
      </c>
      <c r="D541" t="s">
        <v>21</v>
      </c>
      <c r="E541" t="s">
        <v>19</v>
      </c>
      <c r="F541">
        <v>8.61</v>
      </c>
      <c r="G541">
        <v>52.35</v>
      </c>
      <c r="H541">
        <v>129.25</v>
      </c>
      <c r="I541">
        <v>182.31</v>
      </c>
      <c r="J541">
        <v>3.48</v>
      </c>
      <c r="K541">
        <v>6.59</v>
      </c>
      <c r="L541">
        <v>1.61</v>
      </c>
      <c r="M541">
        <v>1</v>
      </c>
      <c r="N541">
        <v>0</v>
      </c>
      <c r="O541" t="s">
        <v>23</v>
      </c>
    </row>
    <row r="542" spans="1:15" x14ac:dyDescent="0.35">
      <c r="A542" t="s">
        <v>15</v>
      </c>
      <c r="B542">
        <v>2015</v>
      </c>
      <c r="C542">
        <v>16</v>
      </c>
      <c r="D542" t="s">
        <v>21</v>
      </c>
      <c r="E542" t="s">
        <v>24</v>
      </c>
      <c r="F542">
        <v>9.51</v>
      </c>
      <c r="G542">
        <v>50.39</v>
      </c>
      <c r="H542">
        <v>162.51</v>
      </c>
      <c r="I542">
        <v>252.87</v>
      </c>
      <c r="J542">
        <v>5.0199999999999996</v>
      </c>
      <c r="K542">
        <v>6.5</v>
      </c>
      <c r="L542">
        <v>1.59</v>
      </c>
      <c r="M542">
        <v>1</v>
      </c>
      <c r="N542">
        <v>0</v>
      </c>
      <c r="O542" t="s">
        <v>20</v>
      </c>
    </row>
    <row r="543" spans="1:15" x14ac:dyDescent="0.35">
      <c r="A543" t="s">
        <v>15</v>
      </c>
      <c r="B543">
        <v>2015</v>
      </c>
      <c r="C543">
        <v>84</v>
      </c>
      <c r="D543" t="s">
        <v>16</v>
      </c>
      <c r="E543" t="s">
        <v>19</v>
      </c>
      <c r="F543">
        <v>7.19</v>
      </c>
      <c r="G543">
        <v>46.53</v>
      </c>
      <c r="H543">
        <v>192.89</v>
      </c>
      <c r="I543">
        <v>236.89</v>
      </c>
      <c r="J543">
        <v>5.09</v>
      </c>
      <c r="K543">
        <v>12.93</v>
      </c>
      <c r="L543">
        <v>3.16</v>
      </c>
      <c r="M543">
        <v>1</v>
      </c>
      <c r="N543">
        <v>1</v>
      </c>
      <c r="O543" t="s">
        <v>20</v>
      </c>
    </row>
    <row r="544" spans="1:15" x14ac:dyDescent="0.35">
      <c r="A544" t="s">
        <v>15</v>
      </c>
      <c r="B544">
        <v>2015</v>
      </c>
      <c r="C544">
        <v>54</v>
      </c>
      <c r="D544" t="s">
        <v>16</v>
      </c>
      <c r="E544" t="s">
        <v>17</v>
      </c>
      <c r="F544">
        <v>6.33</v>
      </c>
      <c r="G544">
        <v>53.42</v>
      </c>
      <c r="H544">
        <v>153.19</v>
      </c>
      <c r="I544">
        <v>187.03</v>
      </c>
      <c r="J544">
        <v>3.5</v>
      </c>
      <c r="K544">
        <v>13.74</v>
      </c>
      <c r="L544">
        <v>3.36</v>
      </c>
      <c r="M544">
        <v>0</v>
      </c>
      <c r="N544">
        <v>1</v>
      </c>
      <c r="O544" t="s">
        <v>18</v>
      </c>
    </row>
    <row r="545" spans="1:15" x14ac:dyDescent="0.35">
      <c r="A545" t="s">
        <v>15</v>
      </c>
      <c r="B545">
        <v>2015</v>
      </c>
      <c r="C545">
        <v>27</v>
      </c>
      <c r="D545" t="s">
        <v>21</v>
      </c>
      <c r="E545" t="s">
        <v>17</v>
      </c>
      <c r="F545">
        <v>7.76</v>
      </c>
      <c r="G545">
        <v>49.29</v>
      </c>
      <c r="H545">
        <v>101.39</v>
      </c>
      <c r="I545">
        <v>214.08</v>
      </c>
      <c r="J545">
        <v>4.34</v>
      </c>
      <c r="K545">
        <v>5.03</v>
      </c>
      <c r="L545">
        <v>1.23</v>
      </c>
      <c r="M545">
        <v>1</v>
      </c>
      <c r="N545">
        <v>0</v>
      </c>
      <c r="O545" t="s">
        <v>20</v>
      </c>
    </row>
    <row r="546" spans="1:15" x14ac:dyDescent="0.35">
      <c r="A546" t="s">
        <v>15</v>
      </c>
      <c r="B546">
        <v>2015</v>
      </c>
      <c r="C546">
        <v>32</v>
      </c>
      <c r="D546" t="s">
        <v>21</v>
      </c>
      <c r="E546" t="s">
        <v>17</v>
      </c>
      <c r="F546">
        <v>6.09</v>
      </c>
      <c r="G546">
        <v>65.2</v>
      </c>
      <c r="H546">
        <v>144.54</v>
      </c>
      <c r="I546">
        <v>215.87</v>
      </c>
      <c r="J546">
        <v>3.31</v>
      </c>
      <c r="K546">
        <v>4.8899999999999997</v>
      </c>
      <c r="L546">
        <v>1.2</v>
      </c>
      <c r="M546">
        <v>0</v>
      </c>
      <c r="N546">
        <v>0</v>
      </c>
      <c r="O546" t="s">
        <v>20</v>
      </c>
    </row>
    <row r="547" spans="1:15" x14ac:dyDescent="0.35">
      <c r="A547" t="s">
        <v>15</v>
      </c>
      <c r="B547">
        <v>2015</v>
      </c>
      <c r="C547">
        <v>17</v>
      </c>
      <c r="D547" t="s">
        <v>21</v>
      </c>
      <c r="E547" t="s">
        <v>24</v>
      </c>
      <c r="F547">
        <v>5.73</v>
      </c>
      <c r="G547">
        <v>47.4</v>
      </c>
      <c r="H547">
        <v>156.5</v>
      </c>
      <c r="I547">
        <v>64.650000000000006</v>
      </c>
      <c r="J547">
        <v>1.36</v>
      </c>
      <c r="K547">
        <v>4.54</v>
      </c>
      <c r="L547">
        <v>1.1100000000000001</v>
      </c>
      <c r="M547">
        <v>0</v>
      </c>
      <c r="N547">
        <v>0</v>
      </c>
      <c r="O547" t="s">
        <v>18</v>
      </c>
    </row>
    <row r="548" spans="1:15" x14ac:dyDescent="0.35">
      <c r="A548" t="s">
        <v>15</v>
      </c>
      <c r="B548">
        <v>2015</v>
      </c>
      <c r="C548">
        <v>70</v>
      </c>
      <c r="D548" t="s">
        <v>16</v>
      </c>
      <c r="E548" t="s">
        <v>19</v>
      </c>
      <c r="F548">
        <v>8.6999999999999993</v>
      </c>
      <c r="G548">
        <v>35.39</v>
      </c>
      <c r="H548">
        <v>146.63999999999999</v>
      </c>
      <c r="I548">
        <v>153.29</v>
      </c>
      <c r="J548">
        <v>4.33</v>
      </c>
      <c r="K548">
        <v>15.07</v>
      </c>
      <c r="L548">
        <v>3.68</v>
      </c>
      <c r="M548">
        <v>1</v>
      </c>
      <c r="N548">
        <v>1</v>
      </c>
      <c r="O548" t="s">
        <v>18</v>
      </c>
    </row>
    <row r="549" spans="1:15" x14ac:dyDescent="0.35">
      <c r="A549" t="s">
        <v>15</v>
      </c>
      <c r="B549">
        <v>2015</v>
      </c>
      <c r="C549">
        <v>66</v>
      </c>
      <c r="D549" t="s">
        <v>21</v>
      </c>
      <c r="E549" t="s">
        <v>19</v>
      </c>
      <c r="F549">
        <v>9.44</v>
      </c>
      <c r="G549">
        <v>38.71</v>
      </c>
      <c r="H549">
        <v>211.69</v>
      </c>
      <c r="I549">
        <v>167.54</v>
      </c>
      <c r="J549">
        <v>4.33</v>
      </c>
      <c r="K549">
        <v>3.59</v>
      </c>
      <c r="L549">
        <v>0.88</v>
      </c>
      <c r="M549">
        <v>1</v>
      </c>
      <c r="N549">
        <v>0</v>
      </c>
      <c r="O549" t="s">
        <v>20</v>
      </c>
    </row>
    <row r="550" spans="1:15" x14ac:dyDescent="0.35">
      <c r="A550" t="s">
        <v>15</v>
      </c>
      <c r="B550">
        <v>2015</v>
      </c>
      <c r="C550">
        <v>11</v>
      </c>
      <c r="D550" t="s">
        <v>21</v>
      </c>
      <c r="E550" t="s">
        <v>22</v>
      </c>
      <c r="F550">
        <v>7.16</v>
      </c>
      <c r="G550">
        <v>48.83</v>
      </c>
      <c r="H550">
        <v>165.15</v>
      </c>
      <c r="I550">
        <v>212.48</v>
      </c>
      <c r="J550">
        <v>4.3499999999999996</v>
      </c>
      <c r="K550">
        <v>2.9</v>
      </c>
      <c r="L550">
        <v>0.71</v>
      </c>
      <c r="M550">
        <v>1</v>
      </c>
      <c r="N550">
        <v>0</v>
      </c>
      <c r="O550" t="s">
        <v>20</v>
      </c>
    </row>
    <row r="551" spans="1:15" x14ac:dyDescent="0.35">
      <c r="A551" t="s">
        <v>15</v>
      </c>
      <c r="B551">
        <v>2015</v>
      </c>
      <c r="C551">
        <v>4</v>
      </c>
      <c r="D551" t="s">
        <v>21</v>
      </c>
      <c r="E551" t="s">
        <v>22</v>
      </c>
      <c r="F551">
        <v>6.34</v>
      </c>
      <c r="G551">
        <v>37.340000000000003</v>
      </c>
      <c r="H551">
        <v>141.94</v>
      </c>
      <c r="I551">
        <v>172.51</v>
      </c>
      <c r="J551">
        <v>4.62</v>
      </c>
      <c r="K551">
        <v>2.74</v>
      </c>
      <c r="L551">
        <v>0.67</v>
      </c>
      <c r="M551">
        <v>0</v>
      </c>
      <c r="N551">
        <v>0</v>
      </c>
      <c r="O551" t="s">
        <v>18</v>
      </c>
    </row>
    <row r="552" spans="1:15" x14ac:dyDescent="0.35">
      <c r="A552" t="s">
        <v>15</v>
      </c>
      <c r="B552">
        <v>2016</v>
      </c>
      <c r="C552">
        <v>46</v>
      </c>
      <c r="D552" t="s">
        <v>21</v>
      </c>
      <c r="E552" t="s">
        <v>17</v>
      </c>
      <c r="F552">
        <v>7.1</v>
      </c>
      <c r="G552">
        <v>34.840000000000003</v>
      </c>
      <c r="H552">
        <v>132.80000000000001</v>
      </c>
      <c r="I552">
        <v>227.18</v>
      </c>
      <c r="J552">
        <v>6.52</v>
      </c>
      <c r="K552">
        <v>11.19</v>
      </c>
      <c r="L552">
        <v>2.74</v>
      </c>
      <c r="M552">
        <v>1</v>
      </c>
      <c r="N552">
        <v>1</v>
      </c>
      <c r="O552" t="s">
        <v>20</v>
      </c>
    </row>
    <row r="553" spans="1:15" x14ac:dyDescent="0.35">
      <c r="A553" t="s">
        <v>15</v>
      </c>
      <c r="B553">
        <v>2016</v>
      </c>
      <c r="C553">
        <v>72</v>
      </c>
      <c r="D553" t="s">
        <v>21</v>
      </c>
      <c r="E553" t="s">
        <v>19</v>
      </c>
      <c r="F553">
        <v>8.73</v>
      </c>
      <c r="G553">
        <v>36.369999999999997</v>
      </c>
      <c r="H553">
        <v>176.11</v>
      </c>
      <c r="I553">
        <v>167.68</v>
      </c>
      <c r="J553">
        <v>4.6100000000000003</v>
      </c>
      <c r="K553">
        <v>11.53</v>
      </c>
      <c r="L553">
        <v>2.82</v>
      </c>
      <c r="M553">
        <v>1</v>
      </c>
      <c r="N553">
        <v>1</v>
      </c>
      <c r="O553" t="s">
        <v>20</v>
      </c>
    </row>
    <row r="554" spans="1:15" x14ac:dyDescent="0.35">
      <c r="A554" t="s">
        <v>15</v>
      </c>
      <c r="B554">
        <v>2016</v>
      </c>
      <c r="C554">
        <v>29</v>
      </c>
      <c r="D554" t="s">
        <v>16</v>
      </c>
      <c r="E554" t="s">
        <v>17</v>
      </c>
      <c r="F554">
        <v>5.98</v>
      </c>
      <c r="G554">
        <v>42.85</v>
      </c>
      <c r="H554">
        <v>172.78</v>
      </c>
      <c r="I554">
        <v>183.27</v>
      </c>
      <c r="J554">
        <v>4.28</v>
      </c>
      <c r="K554">
        <v>10.36</v>
      </c>
      <c r="L554">
        <v>2.5299999999999998</v>
      </c>
      <c r="M554">
        <v>0</v>
      </c>
      <c r="N554">
        <v>1</v>
      </c>
      <c r="O554" t="s">
        <v>20</v>
      </c>
    </row>
    <row r="555" spans="1:15" x14ac:dyDescent="0.35">
      <c r="A555" t="s">
        <v>15</v>
      </c>
      <c r="B555">
        <v>2016</v>
      </c>
      <c r="C555">
        <v>60</v>
      </c>
      <c r="D555" t="s">
        <v>21</v>
      </c>
      <c r="E555" t="s">
        <v>19</v>
      </c>
      <c r="F555">
        <v>9.02</v>
      </c>
      <c r="G555">
        <v>39.409999999999997</v>
      </c>
      <c r="H555">
        <v>164.87</v>
      </c>
      <c r="I555">
        <v>128.88999999999999</v>
      </c>
      <c r="J555">
        <v>3.27</v>
      </c>
      <c r="K555">
        <v>11.85</v>
      </c>
      <c r="L555">
        <v>2.9</v>
      </c>
      <c r="M555">
        <v>1</v>
      </c>
      <c r="N555">
        <v>1</v>
      </c>
      <c r="O555" t="s">
        <v>20</v>
      </c>
    </row>
    <row r="556" spans="1:15" x14ac:dyDescent="0.35">
      <c r="A556" t="s">
        <v>15</v>
      </c>
      <c r="B556">
        <v>2016</v>
      </c>
      <c r="C556">
        <v>11</v>
      </c>
      <c r="D556" t="s">
        <v>16</v>
      </c>
      <c r="E556" t="s">
        <v>22</v>
      </c>
      <c r="F556">
        <v>6.31</v>
      </c>
      <c r="G556">
        <v>49.6</v>
      </c>
      <c r="H556">
        <v>155.47</v>
      </c>
      <c r="I556">
        <v>216.93</v>
      </c>
      <c r="J556">
        <v>4.37</v>
      </c>
      <c r="K556">
        <v>10.43</v>
      </c>
      <c r="L556">
        <v>2.5499999999999998</v>
      </c>
      <c r="M556">
        <v>0</v>
      </c>
      <c r="N556">
        <v>1</v>
      </c>
      <c r="O556" t="s">
        <v>20</v>
      </c>
    </row>
    <row r="557" spans="1:15" x14ac:dyDescent="0.35">
      <c r="A557" t="s">
        <v>15</v>
      </c>
      <c r="B557">
        <v>2016</v>
      </c>
      <c r="C557">
        <v>39</v>
      </c>
      <c r="D557" t="s">
        <v>21</v>
      </c>
      <c r="E557" t="s">
        <v>17</v>
      </c>
      <c r="F557">
        <v>8.5</v>
      </c>
      <c r="G557">
        <v>49.05</v>
      </c>
      <c r="H557">
        <v>93.37</v>
      </c>
      <c r="I557">
        <v>180.55</v>
      </c>
      <c r="J557">
        <v>3.68</v>
      </c>
      <c r="K557">
        <v>12.55</v>
      </c>
      <c r="L557">
        <v>3.07</v>
      </c>
      <c r="M557">
        <v>1</v>
      </c>
      <c r="N557">
        <v>1</v>
      </c>
      <c r="O557" t="s">
        <v>23</v>
      </c>
    </row>
    <row r="558" spans="1:15" x14ac:dyDescent="0.35">
      <c r="A558" t="s">
        <v>15</v>
      </c>
      <c r="B558">
        <v>2016</v>
      </c>
      <c r="C558">
        <v>53</v>
      </c>
      <c r="D558" t="s">
        <v>21</v>
      </c>
      <c r="E558" t="s">
        <v>17</v>
      </c>
      <c r="F558">
        <v>8.57</v>
      </c>
      <c r="G558">
        <v>28.81</v>
      </c>
      <c r="H558">
        <v>176.65</v>
      </c>
      <c r="I558">
        <v>190.97</v>
      </c>
      <c r="J558">
        <v>6.63</v>
      </c>
      <c r="K558">
        <v>12.83</v>
      </c>
      <c r="L558">
        <v>3.14</v>
      </c>
      <c r="M558">
        <v>1</v>
      </c>
      <c r="N558">
        <v>1</v>
      </c>
      <c r="O558" t="s">
        <v>20</v>
      </c>
    </row>
    <row r="559" spans="1:15" x14ac:dyDescent="0.35">
      <c r="A559" t="s">
        <v>15</v>
      </c>
      <c r="B559">
        <v>2016</v>
      </c>
      <c r="C559">
        <v>66</v>
      </c>
      <c r="D559" t="s">
        <v>21</v>
      </c>
      <c r="E559" t="s">
        <v>19</v>
      </c>
      <c r="F559">
        <v>8.93</v>
      </c>
      <c r="G559">
        <v>60.42</v>
      </c>
      <c r="H559">
        <v>218.41</v>
      </c>
      <c r="I559">
        <v>188.45</v>
      </c>
      <c r="J559">
        <v>3.12</v>
      </c>
      <c r="K559">
        <v>13.02</v>
      </c>
      <c r="L559">
        <v>3.18</v>
      </c>
      <c r="M559">
        <v>1</v>
      </c>
      <c r="N559">
        <v>1</v>
      </c>
      <c r="O559" t="s">
        <v>20</v>
      </c>
    </row>
    <row r="560" spans="1:15" x14ac:dyDescent="0.35">
      <c r="A560" t="s">
        <v>15</v>
      </c>
      <c r="B560">
        <v>2016</v>
      </c>
      <c r="C560">
        <v>22</v>
      </c>
      <c r="D560" t="s">
        <v>16</v>
      </c>
      <c r="E560" t="s">
        <v>17</v>
      </c>
      <c r="F560">
        <v>6.04</v>
      </c>
      <c r="G560">
        <v>47.41</v>
      </c>
      <c r="H560">
        <v>158.03</v>
      </c>
      <c r="I560">
        <v>225.22</v>
      </c>
      <c r="J560">
        <v>4.75</v>
      </c>
      <c r="K560">
        <v>10.53</v>
      </c>
      <c r="L560">
        <v>2.57</v>
      </c>
      <c r="M560">
        <v>0</v>
      </c>
      <c r="N560">
        <v>1</v>
      </c>
      <c r="O560" t="s">
        <v>20</v>
      </c>
    </row>
    <row r="561" spans="1:15" x14ac:dyDescent="0.35">
      <c r="A561" t="s">
        <v>15</v>
      </c>
      <c r="B561">
        <v>2016</v>
      </c>
      <c r="C561">
        <v>59</v>
      </c>
      <c r="D561" t="s">
        <v>21</v>
      </c>
      <c r="E561" t="s">
        <v>17</v>
      </c>
      <c r="F561">
        <v>8.1</v>
      </c>
      <c r="G561">
        <v>52.18</v>
      </c>
      <c r="H561">
        <v>126.43</v>
      </c>
      <c r="I561">
        <v>184.95</v>
      </c>
      <c r="J561">
        <v>3.54</v>
      </c>
      <c r="K561">
        <v>16.09</v>
      </c>
      <c r="L561">
        <v>3.93</v>
      </c>
      <c r="M561">
        <v>1</v>
      </c>
      <c r="N561">
        <v>1</v>
      </c>
      <c r="O561" t="s">
        <v>23</v>
      </c>
    </row>
    <row r="562" spans="1:15" x14ac:dyDescent="0.35">
      <c r="A562" t="s">
        <v>15</v>
      </c>
      <c r="B562">
        <v>2016</v>
      </c>
      <c r="C562">
        <v>29</v>
      </c>
      <c r="D562" t="s">
        <v>21</v>
      </c>
      <c r="E562" t="s">
        <v>17</v>
      </c>
      <c r="F562">
        <v>6.76</v>
      </c>
      <c r="G562">
        <v>50.31</v>
      </c>
      <c r="H562">
        <v>102.53</v>
      </c>
      <c r="I562">
        <v>231.56</v>
      </c>
      <c r="J562">
        <v>4.5999999999999996</v>
      </c>
      <c r="K562">
        <v>9.6199999999999992</v>
      </c>
      <c r="L562">
        <v>2.35</v>
      </c>
      <c r="M562">
        <v>1</v>
      </c>
      <c r="N562">
        <v>0</v>
      </c>
      <c r="O562" t="s">
        <v>20</v>
      </c>
    </row>
    <row r="563" spans="1:15" x14ac:dyDescent="0.35">
      <c r="A563" t="s">
        <v>15</v>
      </c>
      <c r="B563">
        <v>2016</v>
      </c>
      <c r="C563">
        <v>61</v>
      </c>
      <c r="D563" t="s">
        <v>21</v>
      </c>
      <c r="E563" t="s">
        <v>19</v>
      </c>
      <c r="F563">
        <v>6.33</v>
      </c>
      <c r="G563">
        <v>55.02</v>
      </c>
      <c r="H563">
        <v>145.87</v>
      </c>
      <c r="I563">
        <v>220.79</v>
      </c>
      <c r="J563">
        <v>4.01</v>
      </c>
      <c r="K563">
        <v>9.3699999999999992</v>
      </c>
      <c r="L563">
        <v>2.29</v>
      </c>
      <c r="M563">
        <v>0</v>
      </c>
      <c r="N563">
        <v>0</v>
      </c>
      <c r="O563" t="s">
        <v>20</v>
      </c>
    </row>
    <row r="564" spans="1:15" x14ac:dyDescent="0.35">
      <c r="A564" t="s">
        <v>15</v>
      </c>
      <c r="B564">
        <v>2016</v>
      </c>
      <c r="C564">
        <v>61</v>
      </c>
      <c r="D564" t="s">
        <v>21</v>
      </c>
      <c r="E564" t="s">
        <v>19</v>
      </c>
      <c r="F564">
        <v>8.43</v>
      </c>
      <c r="G564">
        <v>46.59</v>
      </c>
      <c r="H564">
        <v>141.72</v>
      </c>
      <c r="I564">
        <v>277.89</v>
      </c>
      <c r="J564">
        <v>5.96</v>
      </c>
      <c r="K564">
        <v>9.1</v>
      </c>
      <c r="L564">
        <v>2.2200000000000002</v>
      </c>
      <c r="M564">
        <v>1</v>
      </c>
      <c r="N564">
        <v>0</v>
      </c>
      <c r="O564" t="s">
        <v>20</v>
      </c>
    </row>
    <row r="565" spans="1:15" x14ac:dyDescent="0.35">
      <c r="A565" t="s">
        <v>15</v>
      </c>
      <c r="B565">
        <v>2016</v>
      </c>
      <c r="C565">
        <v>73</v>
      </c>
      <c r="D565" t="s">
        <v>16</v>
      </c>
      <c r="E565" t="s">
        <v>19</v>
      </c>
      <c r="F565">
        <v>9.3800000000000008</v>
      </c>
      <c r="G565">
        <v>38.81</v>
      </c>
      <c r="H565">
        <v>176.54</v>
      </c>
      <c r="I565">
        <v>183.87</v>
      </c>
      <c r="J565">
        <v>4.74</v>
      </c>
      <c r="K565">
        <v>11.41</v>
      </c>
      <c r="L565">
        <v>2.79</v>
      </c>
      <c r="M565">
        <v>1</v>
      </c>
      <c r="N565">
        <v>1</v>
      </c>
      <c r="O565" t="s">
        <v>20</v>
      </c>
    </row>
    <row r="566" spans="1:15" x14ac:dyDescent="0.35">
      <c r="A566" t="s">
        <v>15</v>
      </c>
      <c r="B566">
        <v>2016</v>
      </c>
      <c r="C566">
        <v>66</v>
      </c>
      <c r="D566" t="s">
        <v>21</v>
      </c>
      <c r="E566" t="s">
        <v>19</v>
      </c>
      <c r="F566">
        <v>6.88</v>
      </c>
      <c r="G566">
        <v>45.87</v>
      </c>
      <c r="H566">
        <v>152.15</v>
      </c>
      <c r="I566">
        <v>181.11</v>
      </c>
      <c r="J566">
        <v>3.95</v>
      </c>
      <c r="K566">
        <v>8.7200000000000006</v>
      </c>
      <c r="L566">
        <v>2.13</v>
      </c>
      <c r="M566">
        <v>1</v>
      </c>
      <c r="N566">
        <v>0</v>
      </c>
      <c r="O566" t="s">
        <v>18</v>
      </c>
    </row>
    <row r="567" spans="1:15" x14ac:dyDescent="0.35">
      <c r="A567" t="s">
        <v>15</v>
      </c>
      <c r="B567">
        <v>2016</v>
      </c>
      <c r="C567">
        <v>47</v>
      </c>
      <c r="D567" t="s">
        <v>16</v>
      </c>
      <c r="E567" t="s">
        <v>17</v>
      </c>
      <c r="F567">
        <v>8.31</v>
      </c>
      <c r="G567">
        <v>38.659999999999997</v>
      </c>
      <c r="H567">
        <v>177.89</v>
      </c>
      <c r="I567">
        <v>184.08</v>
      </c>
      <c r="J567">
        <v>4.76</v>
      </c>
      <c r="K567">
        <v>11.51</v>
      </c>
      <c r="L567">
        <v>2.81</v>
      </c>
      <c r="M567">
        <v>1</v>
      </c>
      <c r="N567">
        <v>1</v>
      </c>
      <c r="O567" t="s">
        <v>20</v>
      </c>
    </row>
    <row r="568" spans="1:15" x14ac:dyDescent="0.35">
      <c r="A568" t="s">
        <v>15</v>
      </c>
      <c r="B568">
        <v>2016</v>
      </c>
      <c r="C568">
        <v>41</v>
      </c>
      <c r="D568" t="s">
        <v>21</v>
      </c>
      <c r="E568" t="s">
        <v>17</v>
      </c>
      <c r="F568">
        <v>7.18</v>
      </c>
      <c r="G568">
        <v>40.08</v>
      </c>
      <c r="H568">
        <v>125.07</v>
      </c>
      <c r="I568">
        <v>146.47999999999999</v>
      </c>
      <c r="J568">
        <v>3.65</v>
      </c>
      <c r="K568">
        <v>8.2899999999999991</v>
      </c>
      <c r="L568">
        <v>2.0299999999999998</v>
      </c>
      <c r="M568">
        <v>1</v>
      </c>
      <c r="N568">
        <v>0</v>
      </c>
      <c r="O568" t="s">
        <v>23</v>
      </c>
    </row>
    <row r="569" spans="1:15" x14ac:dyDescent="0.35">
      <c r="A569" t="s">
        <v>15</v>
      </c>
      <c r="B569">
        <v>2016</v>
      </c>
      <c r="C569">
        <v>75</v>
      </c>
      <c r="D569" t="s">
        <v>16</v>
      </c>
      <c r="E569" t="s">
        <v>19</v>
      </c>
      <c r="F569">
        <v>8.15</v>
      </c>
      <c r="G569">
        <v>53.47</v>
      </c>
      <c r="H569">
        <v>118.91</v>
      </c>
      <c r="I569">
        <v>246.37</v>
      </c>
      <c r="J569">
        <v>4.6100000000000003</v>
      </c>
      <c r="K569">
        <v>11.6</v>
      </c>
      <c r="L569">
        <v>2.84</v>
      </c>
      <c r="M569">
        <v>1</v>
      </c>
      <c r="N569">
        <v>1</v>
      </c>
      <c r="O569" t="s">
        <v>20</v>
      </c>
    </row>
    <row r="570" spans="1:15" x14ac:dyDescent="0.35">
      <c r="A570" t="s">
        <v>15</v>
      </c>
      <c r="B570">
        <v>2016</v>
      </c>
      <c r="C570">
        <v>61</v>
      </c>
      <c r="D570" t="s">
        <v>21</v>
      </c>
      <c r="E570" t="s">
        <v>19</v>
      </c>
      <c r="F570">
        <v>8.99</v>
      </c>
      <c r="G570">
        <v>42.25</v>
      </c>
      <c r="H570">
        <v>128.79</v>
      </c>
      <c r="I570">
        <v>210.98</v>
      </c>
      <c r="J570">
        <v>4.99</v>
      </c>
      <c r="K570">
        <v>8.0299999999999994</v>
      </c>
      <c r="L570">
        <v>1.96</v>
      </c>
      <c r="M570">
        <v>1</v>
      </c>
      <c r="N570">
        <v>0</v>
      </c>
      <c r="O570" t="s">
        <v>20</v>
      </c>
    </row>
    <row r="571" spans="1:15" x14ac:dyDescent="0.35">
      <c r="A571" t="s">
        <v>15</v>
      </c>
      <c r="B571">
        <v>2016</v>
      </c>
      <c r="C571">
        <v>39</v>
      </c>
      <c r="D571" t="s">
        <v>16</v>
      </c>
      <c r="E571" t="s">
        <v>17</v>
      </c>
      <c r="F571">
        <v>7.15</v>
      </c>
      <c r="G571">
        <v>43.79</v>
      </c>
      <c r="H571">
        <v>184.94</v>
      </c>
      <c r="I571">
        <v>188.34</v>
      </c>
      <c r="J571">
        <v>4.3</v>
      </c>
      <c r="K571">
        <v>11.8</v>
      </c>
      <c r="L571">
        <v>2.88</v>
      </c>
      <c r="M571">
        <v>1</v>
      </c>
      <c r="N571">
        <v>1</v>
      </c>
      <c r="O571" t="s">
        <v>20</v>
      </c>
    </row>
    <row r="572" spans="1:15" x14ac:dyDescent="0.35">
      <c r="A572" t="s">
        <v>15</v>
      </c>
      <c r="B572">
        <v>2016</v>
      </c>
      <c r="C572">
        <v>27</v>
      </c>
      <c r="D572" t="s">
        <v>16</v>
      </c>
      <c r="E572" t="s">
        <v>17</v>
      </c>
      <c r="F572">
        <v>7.78</v>
      </c>
      <c r="G572">
        <v>64.290000000000006</v>
      </c>
      <c r="H572">
        <v>150.62</v>
      </c>
      <c r="I572">
        <v>158.56</v>
      </c>
      <c r="J572">
        <v>2.4700000000000002</v>
      </c>
      <c r="K572">
        <v>8.6999999999999993</v>
      </c>
      <c r="L572">
        <v>2.13</v>
      </c>
      <c r="M572">
        <v>1</v>
      </c>
      <c r="N572">
        <v>0</v>
      </c>
      <c r="O572" t="s">
        <v>18</v>
      </c>
    </row>
    <row r="573" spans="1:15" x14ac:dyDescent="0.35">
      <c r="A573" t="s">
        <v>15</v>
      </c>
      <c r="B573">
        <v>2016</v>
      </c>
      <c r="C573">
        <v>75</v>
      </c>
      <c r="D573" t="s">
        <v>16</v>
      </c>
      <c r="E573" t="s">
        <v>19</v>
      </c>
      <c r="F573">
        <v>7.98</v>
      </c>
      <c r="G573">
        <v>36.01</v>
      </c>
      <c r="H573">
        <v>189.51</v>
      </c>
      <c r="I573">
        <v>202.59</v>
      </c>
      <c r="J573">
        <v>5.63</v>
      </c>
      <c r="K573">
        <v>8.3800000000000008</v>
      </c>
      <c r="L573">
        <v>2.0499999999999998</v>
      </c>
      <c r="M573">
        <v>1</v>
      </c>
      <c r="N573">
        <v>0</v>
      </c>
      <c r="O573" t="s">
        <v>20</v>
      </c>
    </row>
    <row r="574" spans="1:15" x14ac:dyDescent="0.35">
      <c r="A574" t="s">
        <v>15</v>
      </c>
      <c r="B574">
        <v>2016</v>
      </c>
      <c r="C574">
        <v>31</v>
      </c>
      <c r="D574" t="s">
        <v>16</v>
      </c>
      <c r="E574" t="s">
        <v>17</v>
      </c>
      <c r="F574">
        <v>6.99</v>
      </c>
      <c r="G574">
        <v>24.98</v>
      </c>
      <c r="H574">
        <v>114.92</v>
      </c>
      <c r="I574">
        <v>203.03</v>
      </c>
      <c r="J574">
        <v>8.1300000000000008</v>
      </c>
      <c r="K574">
        <v>9.3699999999999992</v>
      </c>
      <c r="L574">
        <v>2.29</v>
      </c>
      <c r="M574">
        <v>1</v>
      </c>
      <c r="N574">
        <v>0</v>
      </c>
      <c r="O574" t="s">
        <v>20</v>
      </c>
    </row>
    <row r="575" spans="1:15" x14ac:dyDescent="0.35">
      <c r="A575" t="s">
        <v>15</v>
      </c>
      <c r="B575">
        <v>2016</v>
      </c>
      <c r="C575">
        <v>22</v>
      </c>
      <c r="D575" t="s">
        <v>16</v>
      </c>
      <c r="E575" t="s">
        <v>17</v>
      </c>
      <c r="F575">
        <v>6.03</v>
      </c>
      <c r="G575">
        <v>46.42</v>
      </c>
      <c r="H575">
        <v>126.25</v>
      </c>
      <c r="I575">
        <v>143.63</v>
      </c>
      <c r="J575">
        <v>3.09</v>
      </c>
      <c r="K575">
        <v>5.62</v>
      </c>
      <c r="L575">
        <v>1.37</v>
      </c>
      <c r="M575">
        <v>0</v>
      </c>
      <c r="N575">
        <v>0</v>
      </c>
      <c r="O575" t="s">
        <v>23</v>
      </c>
    </row>
    <row r="576" spans="1:15" x14ac:dyDescent="0.35">
      <c r="A576" t="s">
        <v>15</v>
      </c>
      <c r="B576">
        <v>2016</v>
      </c>
      <c r="C576">
        <v>62</v>
      </c>
      <c r="D576" t="s">
        <v>16</v>
      </c>
      <c r="E576" t="s">
        <v>19</v>
      </c>
      <c r="F576">
        <v>8.3000000000000007</v>
      </c>
      <c r="G576">
        <v>52.27</v>
      </c>
      <c r="H576">
        <v>146.16999999999999</v>
      </c>
      <c r="I576">
        <v>216.15</v>
      </c>
      <c r="J576">
        <v>4.1399999999999997</v>
      </c>
      <c r="K576">
        <v>7.55</v>
      </c>
      <c r="L576">
        <v>1.85</v>
      </c>
      <c r="M576">
        <v>1</v>
      </c>
      <c r="N576">
        <v>0</v>
      </c>
      <c r="O576" t="s">
        <v>20</v>
      </c>
    </row>
    <row r="577" spans="1:15" x14ac:dyDescent="0.35">
      <c r="A577" t="s">
        <v>15</v>
      </c>
      <c r="B577">
        <v>2016</v>
      </c>
      <c r="C577">
        <v>71</v>
      </c>
      <c r="D577" t="s">
        <v>16</v>
      </c>
      <c r="E577" t="s">
        <v>19</v>
      </c>
      <c r="F577">
        <v>9.01</v>
      </c>
      <c r="G577">
        <v>33.04</v>
      </c>
      <c r="H577">
        <v>177.53</v>
      </c>
      <c r="I577">
        <v>220.57</v>
      </c>
      <c r="J577">
        <v>6.68</v>
      </c>
      <c r="K577">
        <v>7.32</v>
      </c>
      <c r="L577">
        <v>1.79</v>
      </c>
      <c r="M577">
        <v>1</v>
      </c>
      <c r="N577">
        <v>0</v>
      </c>
      <c r="O577" t="s">
        <v>20</v>
      </c>
    </row>
    <row r="578" spans="1:15" x14ac:dyDescent="0.35">
      <c r="A578" t="s">
        <v>15</v>
      </c>
      <c r="B578">
        <v>2016</v>
      </c>
      <c r="C578">
        <v>61</v>
      </c>
      <c r="D578" t="s">
        <v>16</v>
      </c>
      <c r="E578" t="s">
        <v>19</v>
      </c>
      <c r="F578">
        <v>7.75</v>
      </c>
      <c r="G578">
        <v>35.81</v>
      </c>
      <c r="H578">
        <v>147.87</v>
      </c>
      <c r="I578">
        <v>173.09</v>
      </c>
      <c r="J578">
        <v>4.83</v>
      </c>
      <c r="K578">
        <v>5.24</v>
      </c>
      <c r="L578">
        <v>1.28</v>
      </c>
      <c r="M578">
        <v>1</v>
      </c>
      <c r="N578">
        <v>0</v>
      </c>
      <c r="O578" t="s">
        <v>18</v>
      </c>
    </row>
    <row r="579" spans="1:15" x14ac:dyDescent="0.35">
      <c r="A579" t="s">
        <v>15</v>
      </c>
      <c r="B579">
        <v>2016</v>
      </c>
      <c r="C579">
        <v>36</v>
      </c>
      <c r="D579" t="s">
        <v>16</v>
      </c>
      <c r="E579" t="s">
        <v>17</v>
      </c>
      <c r="F579">
        <v>7.28</v>
      </c>
      <c r="G579">
        <v>48.32</v>
      </c>
      <c r="H579">
        <v>148.03</v>
      </c>
      <c r="I579">
        <v>165.88</v>
      </c>
      <c r="J579">
        <v>3.43</v>
      </c>
      <c r="K579">
        <v>7.09</v>
      </c>
      <c r="L579">
        <v>1.73</v>
      </c>
      <c r="M579">
        <v>1</v>
      </c>
      <c r="N579">
        <v>0</v>
      </c>
      <c r="O579" t="s">
        <v>18</v>
      </c>
    </row>
    <row r="580" spans="1:15" x14ac:dyDescent="0.35">
      <c r="A580" t="s">
        <v>15</v>
      </c>
      <c r="B580">
        <v>2016</v>
      </c>
      <c r="C580">
        <v>23</v>
      </c>
      <c r="D580" t="s">
        <v>16</v>
      </c>
      <c r="E580" t="s">
        <v>17</v>
      </c>
      <c r="F580">
        <v>5.21</v>
      </c>
      <c r="G580">
        <v>48.05</v>
      </c>
      <c r="H580">
        <v>155.69999999999999</v>
      </c>
      <c r="I580">
        <v>191.92</v>
      </c>
      <c r="J580">
        <v>3.99</v>
      </c>
      <c r="K580">
        <v>2.82</v>
      </c>
      <c r="L580">
        <v>0.69</v>
      </c>
      <c r="M580">
        <v>0</v>
      </c>
      <c r="N580">
        <v>0</v>
      </c>
      <c r="O580" t="s">
        <v>18</v>
      </c>
    </row>
    <row r="581" spans="1:15" x14ac:dyDescent="0.35">
      <c r="A581" t="s">
        <v>15</v>
      </c>
      <c r="B581">
        <v>2016</v>
      </c>
      <c r="C581">
        <v>47</v>
      </c>
      <c r="D581" t="s">
        <v>16</v>
      </c>
      <c r="E581" t="s">
        <v>17</v>
      </c>
      <c r="F581">
        <v>6.8</v>
      </c>
      <c r="G581">
        <v>57.61</v>
      </c>
      <c r="H581">
        <v>156.24</v>
      </c>
      <c r="I581">
        <v>158.13</v>
      </c>
      <c r="J581">
        <v>2.74</v>
      </c>
      <c r="K581">
        <v>8.77</v>
      </c>
      <c r="L581">
        <v>2.14</v>
      </c>
      <c r="M581">
        <v>1</v>
      </c>
      <c r="N581">
        <v>0</v>
      </c>
      <c r="O581" t="s">
        <v>18</v>
      </c>
    </row>
    <row r="582" spans="1:15" x14ac:dyDescent="0.35">
      <c r="A582" t="s">
        <v>15</v>
      </c>
      <c r="B582">
        <v>2016</v>
      </c>
      <c r="C582">
        <v>77</v>
      </c>
      <c r="D582" t="s">
        <v>16</v>
      </c>
      <c r="E582" t="s">
        <v>19</v>
      </c>
      <c r="F582">
        <v>8.14</v>
      </c>
      <c r="G582">
        <v>38.83</v>
      </c>
      <c r="H582">
        <v>157.24</v>
      </c>
      <c r="I582">
        <v>238.95</v>
      </c>
      <c r="J582">
        <v>6.15</v>
      </c>
      <c r="K582">
        <v>3.47</v>
      </c>
      <c r="L582">
        <v>0.85</v>
      </c>
      <c r="M582">
        <v>1</v>
      </c>
      <c r="N582">
        <v>0</v>
      </c>
      <c r="O582" t="s">
        <v>20</v>
      </c>
    </row>
    <row r="583" spans="1:15" x14ac:dyDescent="0.35">
      <c r="A583" t="s">
        <v>15</v>
      </c>
      <c r="B583">
        <v>2016</v>
      </c>
      <c r="C583">
        <v>71</v>
      </c>
      <c r="D583" t="s">
        <v>16</v>
      </c>
      <c r="E583" t="s">
        <v>19</v>
      </c>
      <c r="F583">
        <v>8.82</v>
      </c>
      <c r="G583">
        <v>36.58</v>
      </c>
      <c r="H583">
        <v>164.26</v>
      </c>
      <c r="I583">
        <v>162.91999999999999</v>
      </c>
      <c r="J583">
        <v>4.45</v>
      </c>
      <c r="K583">
        <v>4.96</v>
      </c>
      <c r="L583">
        <v>1.21</v>
      </c>
      <c r="M583">
        <v>1</v>
      </c>
      <c r="N583">
        <v>0</v>
      </c>
      <c r="O583" t="s">
        <v>20</v>
      </c>
    </row>
    <row r="584" spans="1:15" x14ac:dyDescent="0.35">
      <c r="A584" t="s">
        <v>15</v>
      </c>
      <c r="B584">
        <v>2016</v>
      </c>
      <c r="C584">
        <v>23</v>
      </c>
      <c r="D584" t="s">
        <v>16</v>
      </c>
      <c r="E584" t="s">
        <v>17</v>
      </c>
      <c r="F584">
        <v>5.72</v>
      </c>
      <c r="G584">
        <v>48.58</v>
      </c>
      <c r="H584">
        <v>169.89</v>
      </c>
      <c r="I584">
        <v>162.44</v>
      </c>
      <c r="J584">
        <v>3.34</v>
      </c>
      <c r="K584">
        <v>6.75</v>
      </c>
      <c r="L584">
        <v>1.65</v>
      </c>
      <c r="M584">
        <v>0</v>
      </c>
      <c r="N584">
        <v>0</v>
      </c>
      <c r="O584" t="s">
        <v>20</v>
      </c>
    </row>
    <row r="585" spans="1:15" x14ac:dyDescent="0.35">
      <c r="A585" t="s">
        <v>15</v>
      </c>
      <c r="B585">
        <v>2016</v>
      </c>
      <c r="C585">
        <v>36</v>
      </c>
      <c r="D585" t="s">
        <v>16</v>
      </c>
      <c r="E585" t="s">
        <v>17</v>
      </c>
      <c r="F585">
        <v>8.99</v>
      </c>
      <c r="G585">
        <v>38.590000000000003</v>
      </c>
      <c r="H585">
        <v>188.14</v>
      </c>
      <c r="I585">
        <v>256.64999999999998</v>
      </c>
      <c r="J585">
        <v>6.65</v>
      </c>
      <c r="K585">
        <v>7.3</v>
      </c>
      <c r="L585">
        <v>1.79</v>
      </c>
      <c r="M585">
        <v>1</v>
      </c>
      <c r="N585">
        <v>0</v>
      </c>
      <c r="O585" t="s">
        <v>20</v>
      </c>
    </row>
    <row r="586" spans="1:15" x14ac:dyDescent="0.35">
      <c r="A586" t="s">
        <v>15</v>
      </c>
      <c r="B586">
        <v>2016</v>
      </c>
      <c r="C586">
        <v>82</v>
      </c>
      <c r="D586" t="s">
        <v>21</v>
      </c>
      <c r="E586" t="s">
        <v>19</v>
      </c>
      <c r="F586">
        <v>8.31</v>
      </c>
      <c r="G586">
        <v>57.54</v>
      </c>
      <c r="H586">
        <v>209.26</v>
      </c>
      <c r="I586">
        <v>175.28</v>
      </c>
      <c r="J586">
        <v>3.05</v>
      </c>
      <c r="K586">
        <v>7.47</v>
      </c>
      <c r="L586">
        <v>1.83</v>
      </c>
      <c r="M586">
        <v>1</v>
      </c>
      <c r="N586">
        <v>0</v>
      </c>
      <c r="O586" t="s">
        <v>20</v>
      </c>
    </row>
    <row r="587" spans="1:15" x14ac:dyDescent="0.35">
      <c r="A587" t="s">
        <v>15</v>
      </c>
      <c r="B587">
        <v>2016</v>
      </c>
      <c r="C587">
        <v>73</v>
      </c>
      <c r="D587" t="s">
        <v>16</v>
      </c>
      <c r="E587" t="s">
        <v>19</v>
      </c>
      <c r="F587">
        <v>7.78</v>
      </c>
      <c r="G587">
        <v>39.6</v>
      </c>
      <c r="H587">
        <v>174.14</v>
      </c>
      <c r="I587">
        <v>77.94</v>
      </c>
      <c r="J587">
        <v>1.97</v>
      </c>
      <c r="K587">
        <v>9.84</v>
      </c>
      <c r="L587">
        <v>2.4</v>
      </c>
      <c r="M587">
        <v>1</v>
      </c>
      <c r="N587">
        <v>0</v>
      </c>
      <c r="O587" t="s">
        <v>20</v>
      </c>
    </row>
    <row r="588" spans="1:15" x14ac:dyDescent="0.35">
      <c r="A588" t="s">
        <v>15</v>
      </c>
      <c r="B588">
        <v>2016</v>
      </c>
      <c r="C588">
        <v>71</v>
      </c>
      <c r="D588" t="s">
        <v>16</v>
      </c>
      <c r="E588" t="s">
        <v>19</v>
      </c>
      <c r="F588">
        <v>9.11</v>
      </c>
      <c r="G588">
        <v>52.23</v>
      </c>
      <c r="H588">
        <v>171.51</v>
      </c>
      <c r="I588">
        <v>55.72</v>
      </c>
      <c r="J588">
        <v>1.07</v>
      </c>
      <c r="K588">
        <v>7.24</v>
      </c>
      <c r="L588">
        <v>1.77</v>
      </c>
      <c r="M588">
        <v>1</v>
      </c>
      <c r="N588">
        <v>0</v>
      </c>
      <c r="O588" t="s">
        <v>20</v>
      </c>
    </row>
    <row r="589" spans="1:15" x14ac:dyDescent="0.35">
      <c r="A589" t="s">
        <v>15</v>
      </c>
      <c r="B589">
        <v>2016</v>
      </c>
      <c r="C589">
        <v>54</v>
      </c>
      <c r="D589" t="s">
        <v>21</v>
      </c>
      <c r="E589" t="s">
        <v>17</v>
      </c>
      <c r="F589">
        <v>6.45</v>
      </c>
      <c r="G589">
        <v>47.14</v>
      </c>
      <c r="H589">
        <v>201.17</v>
      </c>
      <c r="I589">
        <v>154.5</v>
      </c>
      <c r="J589">
        <v>3.28</v>
      </c>
      <c r="K589">
        <v>7.37</v>
      </c>
      <c r="L589">
        <v>1.8</v>
      </c>
      <c r="M589">
        <v>0</v>
      </c>
      <c r="N589">
        <v>0</v>
      </c>
      <c r="O589" t="s">
        <v>20</v>
      </c>
    </row>
    <row r="590" spans="1:15" x14ac:dyDescent="0.35">
      <c r="A590" t="s">
        <v>15</v>
      </c>
      <c r="B590">
        <v>2016</v>
      </c>
      <c r="C590">
        <v>73</v>
      </c>
      <c r="D590" t="s">
        <v>16</v>
      </c>
      <c r="E590" t="s">
        <v>19</v>
      </c>
      <c r="F590">
        <v>9.06</v>
      </c>
      <c r="G590">
        <v>51.75</v>
      </c>
      <c r="H590">
        <v>160.05000000000001</v>
      </c>
      <c r="I590">
        <v>290.95</v>
      </c>
      <c r="J590">
        <v>5.62</v>
      </c>
      <c r="K590">
        <v>12.19</v>
      </c>
      <c r="L590">
        <v>2.98</v>
      </c>
      <c r="M590">
        <v>1</v>
      </c>
      <c r="N590">
        <v>1</v>
      </c>
      <c r="O590" t="s">
        <v>20</v>
      </c>
    </row>
    <row r="591" spans="1:15" x14ac:dyDescent="0.35">
      <c r="A591" t="s">
        <v>15</v>
      </c>
      <c r="B591">
        <v>2016</v>
      </c>
      <c r="C591">
        <v>51</v>
      </c>
      <c r="D591" t="s">
        <v>16</v>
      </c>
      <c r="E591" t="s">
        <v>17</v>
      </c>
      <c r="F591">
        <v>8.01</v>
      </c>
      <c r="G591">
        <v>58.02</v>
      </c>
      <c r="H591">
        <v>121.52</v>
      </c>
      <c r="I591">
        <v>131.38999999999999</v>
      </c>
      <c r="J591">
        <v>2.2599999999999998</v>
      </c>
      <c r="K591">
        <v>12.26</v>
      </c>
      <c r="L591">
        <v>3</v>
      </c>
      <c r="M591">
        <v>1</v>
      </c>
      <c r="N591">
        <v>1</v>
      </c>
      <c r="O591" t="s">
        <v>23</v>
      </c>
    </row>
    <row r="592" spans="1:15" x14ac:dyDescent="0.35">
      <c r="A592" t="s">
        <v>15</v>
      </c>
      <c r="B592">
        <v>2016</v>
      </c>
      <c r="C592">
        <v>20</v>
      </c>
      <c r="D592" t="s">
        <v>16</v>
      </c>
      <c r="E592" t="s">
        <v>17</v>
      </c>
      <c r="F592">
        <v>6.16</v>
      </c>
      <c r="G592">
        <v>57.25</v>
      </c>
      <c r="H592">
        <v>163.61000000000001</v>
      </c>
      <c r="I592">
        <v>206.95</v>
      </c>
      <c r="J592">
        <v>3.61</v>
      </c>
      <c r="K592">
        <v>12.51</v>
      </c>
      <c r="L592">
        <v>3.06</v>
      </c>
      <c r="M592">
        <v>0</v>
      </c>
      <c r="N592">
        <v>1</v>
      </c>
      <c r="O592" t="s">
        <v>20</v>
      </c>
    </row>
    <row r="593" spans="1:15" x14ac:dyDescent="0.35">
      <c r="A593" t="s">
        <v>15</v>
      </c>
      <c r="B593">
        <v>2016</v>
      </c>
      <c r="C593">
        <v>65</v>
      </c>
      <c r="D593" t="s">
        <v>21</v>
      </c>
      <c r="E593" t="s">
        <v>19</v>
      </c>
      <c r="F593">
        <v>8.1999999999999993</v>
      </c>
      <c r="G593">
        <v>32</v>
      </c>
      <c r="H593">
        <v>161.24</v>
      </c>
      <c r="I593">
        <v>152.74</v>
      </c>
      <c r="J593">
        <v>4.7699999999999996</v>
      </c>
      <c r="K593">
        <v>5.82</v>
      </c>
      <c r="L593">
        <v>1.42</v>
      </c>
      <c r="M593">
        <v>1</v>
      </c>
      <c r="N593">
        <v>0</v>
      </c>
      <c r="O593" t="s">
        <v>20</v>
      </c>
    </row>
    <row r="594" spans="1:15" x14ac:dyDescent="0.35">
      <c r="A594" t="s">
        <v>15</v>
      </c>
      <c r="B594">
        <v>2016</v>
      </c>
      <c r="C594">
        <v>55</v>
      </c>
      <c r="D594" t="s">
        <v>16</v>
      </c>
      <c r="E594" t="s">
        <v>17</v>
      </c>
      <c r="F594">
        <v>9.98</v>
      </c>
      <c r="G594">
        <v>15.85</v>
      </c>
      <c r="H594">
        <v>136.22</v>
      </c>
      <c r="I594">
        <v>278.47000000000003</v>
      </c>
      <c r="J594">
        <v>17.57</v>
      </c>
      <c r="K594">
        <v>13.25</v>
      </c>
      <c r="L594">
        <v>3.24</v>
      </c>
      <c r="M594">
        <v>1</v>
      </c>
      <c r="N594">
        <v>1</v>
      </c>
      <c r="O594" t="s">
        <v>20</v>
      </c>
    </row>
    <row r="595" spans="1:15" x14ac:dyDescent="0.35">
      <c r="A595" t="s">
        <v>15</v>
      </c>
      <c r="B595">
        <v>2016</v>
      </c>
      <c r="C595">
        <v>72</v>
      </c>
      <c r="D595" t="s">
        <v>16</v>
      </c>
      <c r="E595" t="s">
        <v>19</v>
      </c>
      <c r="F595">
        <v>6.61</v>
      </c>
      <c r="G595">
        <v>43.15</v>
      </c>
      <c r="H595">
        <v>194.25</v>
      </c>
      <c r="I595">
        <v>151.31</v>
      </c>
      <c r="J595">
        <v>3.51</v>
      </c>
      <c r="K595">
        <v>13.61</v>
      </c>
      <c r="L595">
        <v>3.33</v>
      </c>
      <c r="M595">
        <v>1</v>
      </c>
      <c r="N595">
        <v>1</v>
      </c>
      <c r="O595" t="s">
        <v>20</v>
      </c>
    </row>
    <row r="596" spans="1:15" x14ac:dyDescent="0.35">
      <c r="A596" t="s">
        <v>15</v>
      </c>
      <c r="B596">
        <v>2016</v>
      </c>
      <c r="C596">
        <v>20</v>
      </c>
      <c r="D596" t="s">
        <v>16</v>
      </c>
      <c r="E596" t="s">
        <v>17</v>
      </c>
      <c r="F596">
        <v>7.13</v>
      </c>
      <c r="G596">
        <v>52.95</v>
      </c>
      <c r="H596">
        <v>124.66</v>
      </c>
      <c r="I596">
        <v>186.26</v>
      </c>
      <c r="J596">
        <v>3.52</v>
      </c>
      <c r="K596">
        <v>13.65</v>
      </c>
      <c r="L596">
        <v>3.34</v>
      </c>
      <c r="M596">
        <v>1</v>
      </c>
      <c r="N596">
        <v>1</v>
      </c>
      <c r="O596" t="s">
        <v>23</v>
      </c>
    </row>
    <row r="597" spans="1:15" x14ac:dyDescent="0.35">
      <c r="A597" t="s">
        <v>15</v>
      </c>
      <c r="B597">
        <v>2016</v>
      </c>
      <c r="C597">
        <v>68</v>
      </c>
      <c r="D597" t="s">
        <v>16</v>
      </c>
      <c r="E597" t="s">
        <v>19</v>
      </c>
      <c r="F597">
        <v>8.27</v>
      </c>
      <c r="G597">
        <v>53.1</v>
      </c>
      <c r="H597">
        <v>152.74</v>
      </c>
      <c r="I597">
        <v>120.68</v>
      </c>
      <c r="J597">
        <v>2.27</v>
      </c>
      <c r="K597">
        <v>14.36</v>
      </c>
      <c r="L597">
        <v>3.51</v>
      </c>
      <c r="M597">
        <v>1</v>
      </c>
      <c r="N597">
        <v>1</v>
      </c>
      <c r="O597" t="s">
        <v>18</v>
      </c>
    </row>
    <row r="598" spans="1:15" x14ac:dyDescent="0.35">
      <c r="A598" t="s">
        <v>15</v>
      </c>
      <c r="B598">
        <v>2016</v>
      </c>
      <c r="C598">
        <v>53</v>
      </c>
      <c r="D598" t="s">
        <v>21</v>
      </c>
      <c r="E598" t="s">
        <v>17</v>
      </c>
      <c r="F598">
        <v>8.48</v>
      </c>
      <c r="G598">
        <v>54.3</v>
      </c>
      <c r="H598">
        <v>163.49</v>
      </c>
      <c r="I598">
        <v>278.18</v>
      </c>
      <c r="J598">
        <v>5.12</v>
      </c>
      <c r="K598">
        <v>4.2300000000000004</v>
      </c>
      <c r="L598">
        <v>1.03</v>
      </c>
      <c r="M598">
        <v>1</v>
      </c>
      <c r="N598">
        <v>0</v>
      </c>
      <c r="O598" t="s">
        <v>20</v>
      </c>
    </row>
    <row r="599" spans="1:15" x14ac:dyDescent="0.35">
      <c r="A599" t="s">
        <v>15</v>
      </c>
      <c r="B599">
        <v>2016</v>
      </c>
      <c r="C599">
        <v>51</v>
      </c>
      <c r="D599" t="s">
        <v>21</v>
      </c>
      <c r="E599" t="s">
        <v>17</v>
      </c>
      <c r="F599">
        <v>9.15</v>
      </c>
      <c r="G599">
        <v>51.68</v>
      </c>
      <c r="H599">
        <v>186.05</v>
      </c>
      <c r="I599">
        <v>231</v>
      </c>
      <c r="J599">
        <v>4.47</v>
      </c>
      <c r="K599">
        <v>2.73</v>
      </c>
      <c r="L599">
        <v>0.67</v>
      </c>
      <c r="M599">
        <v>1</v>
      </c>
      <c r="N599">
        <v>0</v>
      </c>
      <c r="O599" t="s">
        <v>20</v>
      </c>
    </row>
    <row r="600" spans="1:15" x14ac:dyDescent="0.35">
      <c r="A600" t="s">
        <v>15</v>
      </c>
      <c r="B600">
        <v>2016</v>
      </c>
      <c r="C600">
        <v>80</v>
      </c>
      <c r="D600" t="s">
        <v>16</v>
      </c>
      <c r="E600" t="s">
        <v>19</v>
      </c>
      <c r="F600">
        <v>6.82</v>
      </c>
      <c r="G600">
        <v>66.400000000000006</v>
      </c>
      <c r="H600">
        <v>141.5</v>
      </c>
      <c r="I600">
        <v>206.58</v>
      </c>
      <c r="J600">
        <v>3.11</v>
      </c>
      <c r="K600">
        <v>17.89</v>
      </c>
      <c r="L600">
        <v>4.37</v>
      </c>
      <c r="M600">
        <v>1</v>
      </c>
      <c r="N600">
        <v>1</v>
      </c>
      <c r="O600" t="s">
        <v>20</v>
      </c>
    </row>
    <row r="601" spans="1:15" x14ac:dyDescent="0.35">
      <c r="A601" t="s">
        <v>15</v>
      </c>
      <c r="B601">
        <v>2016</v>
      </c>
      <c r="C601">
        <v>23</v>
      </c>
      <c r="D601" t="s">
        <v>21</v>
      </c>
      <c r="E601" t="s">
        <v>17</v>
      </c>
      <c r="F601">
        <v>7.08</v>
      </c>
      <c r="G601">
        <v>30.83</v>
      </c>
      <c r="H601">
        <v>153.43</v>
      </c>
      <c r="I601">
        <v>174.86</v>
      </c>
      <c r="J601">
        <v>5.67</v>
      </c>
      <c r="K601">
        <v>-1.37</v>
      </c>
      <c r="L601">
        <v>-0.34</v>
      </c>
      <c r="M601">
        <v>1</v>
      </c>
      <c r="N601">
        <v>0</v>
      </c>
      <c r="O601" t="s">
        <v>18</v>
      </c>
    </row>
    <row r="602" spans="1:15" x14ac:dyDescent="0.35">
      <c r="A602" t="s">
        <v>15</v>
      </c>
      <c r="B602">
        <v>2017</v>
      </c>
      <c r="C602">
        <v>70</v>
      </c>
      <c r="D602" t="s">
        <v>21</v>
      </c>
      <c r="E602" t="s">
        <v>19</v>
      </c>
      <c r="F602">
        <v>9.1</v>
      </c>
      <c r="G602">
        <v>48.04</v>
      </c>
      <c r="H602">
        <v>208.79</v>
      </c>
      <c r="I602">
        <v>151.4</v>
      </c>
      <c r="J602">
        <v>3.15</v>
      </c>
      <c r="K602">
        <v>11.16</v>
      </c>
      <c r="L602">
        <v>2.73</v>
      </c>
      <c r="M602">
        <v>1</v>
      </c>
      <c r="N602">
        <v>1</v>
      </c>
      <c r="O602" t="s">
        <v>20</v>
      </c>
    </row>
    <row r="603" spans="1:15" x14ac:dyDescent="0.35">
      <c r="A603" t="s">
        <v>15</v>
      </c>
      <c r="B603">
        <v>2017</v>
      </c>
      <c r="C603">
        <v>1</v>
      </c>
      <c r="D603" t="s">
        <v>21</v>
      </c>
      <c r="E603" t="s">
        <v>22</v>
      </c>
      <c r="F603">
        <v>7.29</v>
      </c>
      <c r="G603">
        <v>48.47</v>
      </c>
      <c r="H603">
        <v>167.64</v>
      </c>
      <c r="I603">
        <v>138.65</v>
      </c>
      <c r="J603">
        <v>2.86</v>
      </c>
      <c r="K603">
        <v>12.35</v>
      </c>
      <c r="L603">
        <v>3.02</v>
      </c>
      <c r="M603">
        <v>1</v>
      </c>
      <c r="N603">
        <v>1</v>
      </c>
      <c r="O603" t="s">
        <v>20</v>
      </c>
    </row>
    <row r="604" spans="1:15" x14ac:dyDescent="0.35">
      <c r="A604" t="s">
        <v>15</v>
      </c>
      <c r="B604">
        <v>2017</v>
      </c>
      <c r="C604">
        <v>78</v>
      </c>
      <c r="D604" t="s">
        <v>16</v>
      </c>
      <c r="E604" t="s">
        <v>19</v>
      </c>
      <c r="F604">
        <v>10.45</v>
      </c>
      <c r="G604">
        <v>28.64</v>
      </c>
      <c r="H604">
        <v>148.04</v>
      </c>
      <c r="I604">
        <v>162.31</v>
      </c>
      <c r="J604">
        <v>5.67</v>
      </c>
      <c r="K604">
        <v>10.61</v>
      </c>
      <c r="L604">
        <v>2.59</v>
      </c>
      <c r="M604">
        <v>1</v>
      </c>
      <c r="N604">
        <v>1</v>
      </c>
      <c r="O604" t="s">
        <v>18</v>
      </c>
    </row>
    <row r="605" spans="1:15" x14ac:dyDescent="0.35">
      <c r="A605" t="s">
        <v>15</v>
      </c>
      <c r="B605">
        <v>2017</v>
      </c>
      <c r="C605">
        <v>53</v>
      </c>
      <c r="D605" t="s">
        <v>16</v>
      </c>
      <c r="E605" t="s">
        <v>17</v>
      </c>
      <c r="F605">
        <v>7.17</v>
      </c>
      <c r="G605">
        <v>31.46</v>
      </c>
      <c r="H605">
        <v>153.1</v>
      </c>
      <c r="I605">
        <v>168.08</v>
      </c>
      <c r="J605">
        <v>5.34</v>
      </c>
      <c r="K605">
        <v>10.64</v>
      </c>
      <c r="L605">
        <v>2.6</v>
      </c>
      <c r="M605">
        <v>1</v>
      </c>
      <c r="N605">
        <v>1</v>
      </c>
      <c r="O605" t="s">
        <v>18</v>
      </c>
    </row>
    <row r="606" spans="1:15" x14ac:dyDescent="0.35">
      <c r="A606" t="s">
        <v>15</v>
      </c>
      <c r="B606">
        <v>2017</v>
      </c>
      <c r="C606">
        <v>69</v>
      </c>
      <c r="D606" t="s">
        <v>21</v>
      </c>
      <c r="E606" t="s">
        <v>19</v>
      </c>
      <c r="F606">
        <v>6.63</v>
      </c>
      <c r="G606">
        <v>36.32</v>
      </c>
      <c r="H606">
        <v>143.84</v>
      </c>
      <c r="I606">
        <v>189.35</v>
      </c>
      <c r="J606">
        <v>5.21</v>
      </c>
      <c r="K606">
        <v>10.91</v>
      </c>
      <c r="L606">
        <v>2.67</v>
      </c>
      <c r="M606">
        <v>1</v>
      </c>
      <c r="N606">
        <v>1</v>
      </c>
      <c r="O606" t="s">
        <v>18</v>
      </c>
    </row>
    <row r="607" spans="1:15" x14ac:dyDescent="0.35">
      <c r="A607" t="s">
        <v>15</v>
      </c>
      <c r="B607">
        <v>2017</v>
      </c>
      <c r="C607">
        <v>49</v>
      </c>
      <c r="D607" t="s">
        <v>21</v>
      </c>
      <c r="E607" t="s">
        <v>17</v>
      </c>
      <c r="F607">
        <v>8.49</v>
      </c>
      <c r="G607">
        <v>42.23</v>
      </c>
      <c r="H607">
        <v>151.12</v>
      </c>
      <c r="I607">
        <v>96.43</v>
      </c>
      <c r="J607">
        <v>2.2799999999999998</v>
      </c>
      <c r="K607">
        <v>10.69</v>
      </c>
      <c r="L607">
        <v>2.61</v>
      </c>
      <c r="M607">
        <v>1</v>
      </c>
      <c r="N607">
        <v>1</v>
      </c>
      <c r="O607" t="s">
        <v>18</v>
      </c>
    </row>
    <row r="608" spans="1:15" x14ac:dyDescent="0.35">
      <c r="A608" t="s">
        <v>15</v>
      </c>
      <c r="B608">
        <v>2017</v>
      </c>
      <c r="C608">
        <v>48</v>
      </c>
      <c r="D608" t="s">
        <v>21</v>
      </c>
      <c r="E608" t="s">
        <v>17</v>
      </c>
      <c r="F608">
        <v>7.45</v>
      </c>
      <c r="G608">
        <v>47.18</v>
      </c>
      <c r="H608">
        <v>165.14</v>
      </c>
      <c r="I608">
        <v>92.47</v>
      </c>
      <c r="J608">
        <v>1.96</v>
      </c>
      <c r="K608">
        <v>10.32</v>
      </c>
      <c r="L608">
        <v>2.52</v>
      </c>
      <c r="M608">
        <v>1</v>
      </c>
      <c r="N608">
        <v>1</v>
      </c>
      <c r="O608" t="s">
        <v>20</v>
      </c>
    </row>
    <row r="609" spans="1:15" x14ac:dyDescent="0.35">
      <c r="A609" t="s">
        <v>15</v>
      </c>
      <c r="B609">
        <v>2017</v>
      </c>
      <c r="C609">
        <v>8</v>
      </c>
      <c r="D609" t="s">
        <v>21</v>
      </c>
      <c r="E609" t="s">
        <v>22</v>
      </c>
      <c r="F609">
        <v>8.65</v>
      </c>
      <c r="G609">
        <v>49.51</v>
      </c>
      <c r="H609">
        <v>131.09</v>
      </c>
      <c r="I609">
        <v>125.54</v>
      </c>
      <c r="J609">
        <v>2.54</v>
      </c>
      <c r="K609">
        <v>10.28</v>
      </c>
      <c r="L609">
        <v>2.5099999999999998</v>
      </c>
      <c r="M609">
        <v>1</v>
      </c>
      <c r="N609">
        <v>1</v>
      </c>
      <c r="O609" t="s">
        <v>18</v>
      </c>
    </row>
    <row r="610" spans="1:15" x14ac:dyDescent="0.35">
      <c r="A610" t="s">
        <v>15</v>
      </c>
      <c r="B610">
        <v>2017</v>
      </c>
      <c r="C610">
        <v>83</v>
      </c>
      <c r="D610" t="s">
        <v>16</v>
      </c>
      <c r="E610" t="s">
        <v>19</v>
      </c>
      <c r="F610">
        <v>8.56</v>
      </c>
      <c r="G610">
        <v>29.76</v>
      </c>
      <c r="H610">
        <v>142.1</v>
      </c>
      <c r="I610">
        <v>285.02999999999997</v>
      </c>
      <c r="J610">
        <v>9.58</v>
      </c>
      <c r="K610">
        <v>11.11</v>
      </c>
      <c r="L610">
        <v>2.71</v>
      </c>
      <c r="M610">
        <v>1</v>
      </c>
      <c r="N610">
        <v>1</v>
      </c>
      <c r="O610" t="s">
        <v>20</v>
      </c>
    </row>
    <row r="611" spans="1:15" x14ac:dyDescent="0.35">
      <c r="A611" t="s">
        <v>15</v>
      </c>
      <c r="B611">
        <v>2017</v>
      </c>
      <c r="C611">
        <v>22</v>
      </c>
      <c r="D611" t="s">
        <v>16</v>
      </c>
      <c r="E611" t="s">
        <v>17</v>
      </c>
      <c r="F611">
        <v>6.44</v>
      </c>
      <c r="G611">
        <v>46.4</v>
      </c>
      <c r="H611">
        <v>167.62</v>
      </c>
      <c r="I611">
        <v>235.45</v>
      </c>
      <c r="J611">
        <v>5.07</v>
      </c>
      <c r="K611">
        <v>11.16</v>
      </c>
      <c r="L611">
        <v>2.73</v>
      </c>
      <c r="M611">
        <v>0</v>
      </c>
      <c r="N611">
        <v>1</v>
      </c>
      <c r="O611" t="s">
        <v>20</v>
      </c>
    </row>
    <row r="612" spans="1:15" x14ac:dyDescent="0.35">
      <c r="A612" t="s">
        <v>15</v>
      </c>
      <c r="B612">
        <v>2017</v>
      </c>
      <c r="C612">
        <v>80</v>
      </c>
      <c r="D612" t="s">
        <v>16</v>
      </c>
      <c r="E612" t="s">
        <v>19</v>
      </c>
      <c r="F612">
        <v>8.2799999999999994</v>
      </c>
      <c r="G612">
        <v>55.7</v>
      </c>
      <c r="H612">
        <v>154.41999999999999</v>
      </c>
      <c r="I612">
        <v>239.56</v>
      </c>
      <c r="J612">
        <v>4.3</v>
      </c>
      <c r="K612">
        <v>11.25</v>
      </c>
      <c r="L612">
        <v>2.75</v>
      </c>
      <c r="M612">
        <v>1</v>
      </c>
      <c r="N612">
        <v>1</v>
      </c>
      <c r="O612" t="s">
        <v>20</v>
      </c>
    </row>
    <row r="613" spans="1:15" x14ac:dyDescent="0.35">
      <c r="A613" t="s">
        <v>15</v>
      </c>
      <c r="B613">
        <v>2017</v>
      </c>
      <c r="C613">
        <v>83</v>
      </c>
      <c r="D613" t="s">
        <v>21</v>
      </c>
      <c r="E613" t="s">
        <v>19</v>
      </c>
      <c r="F613">
        <v>7.71</v>
      </c>
      <c r="G613">
        <v>44.75</v>
      </c>
      <c r="H613">
        <v>148.9</v>
      </c>
      <c r="I613">
        <v>232.08</v>
      </c>
      <c r="J613">
        <v>5.19</v>
      </c>
      <c r="K613">
        <v>8.7200000000000006</v>
      </c>
      <c r="L613">
        <v>2.13</v>
      </c>
      <c r="M613">
        <v>1</v>
      </c>
      <c r="N613">
        <v>0</v>
      </c>
      <c r="O613" t="s">
        <v>20</v>
      </c>
    </row>
    <row r="614" spans="1:15" x14ac:dyDescent="0.35">
      <c r="A614" t="s">
        <v>15</v>
      </c>
      <c r="B614">
        <v>2017</v>
      </c>
      <c r="C614">
        <v>1</v>
      </c>
      <c r="D614" t="s">
        <v>21</v>
      </c>
      <c r="E614" t="s">
        <v>22</v>
      </c>
      <c r="F614">
        <v>6.81</v>
      </c>
      <c r="G614">
        <v>46.42</v>
      </c>
      <c r="H614">
        <v>142.86000000000001</v>
      </c>
      <c r="I614">
        <v>210.3</v>
      </c>
      <c r="J614">
        <v>4.53</v>
      </c>
      <c r="K614">
        <v>8.6199999999999992</v>
      </c>
      <c r="L614">
        <v>2.11</v>
      </c>
      <c r="M614">
        <v>1</v>
      </c>
      <c r="N614">
        <v>0</v>
      </c>
      <c r="O614" t="s">
        <v>20</v>
      </c>
    </row>
    <row r="615" spans="1:15" x14ac:dyDescent="0.35">
      <c r="A615" t="s">
        <v>15</v>
      </c>
      <c r="B615">
        <v>2017</v>
      </c>
      <c r="C615">
        <v>81</v>
      </c>
      <c r="D615" t="s">
        <v>16</v>
      </c>
      <c r="E615" t="s">
        <v>19</v>
      </c>
      <c r="F615">
        <v>10.57</v>
      </c>
      <c r="G615">
        <v>33.86</v>
      </c>
      <c r="H615">
        <v>140.16</v>
      </c>
      <c r="I615">
        <v>216.53</v>
      </c>
      <c r="J615">
        <v>6.39</v>
      </c>
      <c r="K615">
        <v>11.45</v>
      </c>
      <c r="L615">
        <v>2.8</v>
      </c>
      <c r="M615">
        <v>1</v>
      </c>
      <c r="N615">
        <v>1</v>
      </c>
      <c r="O615" t="s">
        <v>20</v>
      </c>
    </row>
    <row r="616" spans="1:15" x14ac:dyDescent="0.35">
      <c r="A616" t="s">
        <v>15</v>
      </c>
      <c r="B616">
        <v>2017</v>
      </c>
      <c r="C616">
        <v>48</v>
      </c>
      <c r="D616" t="s">
        <v>21</v>
      </c>
      <c r="E616" t="s">
        <v>17</v>
      </c>
      <c r="F616">
        <v>5.98</v>
      </c>
      <c r="G616">
        <v>60.61</v>
      </c>
      <c r="H616">
        <v>133.72999999999999</v>
      </c>
      <c r="I616">
        <v>165.25</v>
      </c>
      <c r="J616">
        <v>2.73</v>
      </c>
      <c r="K616">
        <v>7.78</v>
      </c>
      <c r="L616">
        <v>1.9</v>
      </c>
      <c r="M616">
        <v>0</v>
      </c>
      <c r="N616">
        <v>0</v>
      </c>
      <c r="O616" t="s">
        <v>18</v>
      </c>
    </row>
    <row r="617" spans="1:15" x14ac:dyDescent="0.35">
      <c r="A617" t="s">
        <v>15</v>
      </c>
      <c r="B617">
        <v>2017</v>
      </c>
      <c r="C617">
        <v>40</v>
      </c>
      <c r="D617" t="s">
        <v>21</v>
      </c>
      <c r="E617" t="s">
        <v>17</v>
      </c>
      <c r="F617">
        <v>5.8</v>
      </c>
      <c r="G617">
        <v>51.69</v>
      </c>
      <c r="H617">
        <v>145.80000000000001</v>
      </c>
      <c r="I617">
        <v>152.53</v>
      </c>
      <c r="J617">
        <v>2.95</v>
      </c>
      <c r="K617">
        <v>7.73</v>
      </c>
      <c r="L617">
        <v>1.89</v>
      </c>
      <c r="M617">
        <v>0</v>
      </c>
      <c r="N617">
        <v>0</v>
      </c>
      <c r="O617" t="s">
        <v>18</v>
      </c>
    </row>
    <row r="618" spans="1:15" x14ac:dyDescent="0.35">
      <c r="A618" t="s">
        <v>15</v>
      </c>
      <c r="B618">
        <v>2017</v>
      </c>
      <c r="C618">
        <v>20</v>
      </c>
      <c r="D618" t="s">
        <v>16</v>
      </c>
      <c r="E618" t="s">
        <v>17</v>
      </c>
      <c r="F618">
        <v>7.26</v>
      </c>
      <c r="G618">
        <v>36.229999999999997</v>
      </c>
      <c r="H618">
        <v>106.43</v>
      </c>
      <c r="I618">
        <v>230.59</v>
      </c>
      <c r="J618">
        <v>6.36</v>
      </c>
      <c r="K618">
        <v>12.08</v>
      </c>
      <c r="L618">
        <v>2.95</v>
      </c>
      <c r="M618">
        <v>1</v>
      </c>
      <c r="N618">
        <v>1</v>
      </c>
      <c r="O618" t="s">
        <v>20</v>
      </c>
    </row>
    <row r="619" spans="1:15" x14ac:dyDescent="0.35">
      <c r="A619" t="s">
        <v>15</v>
      </c>
      <c r="B619">
        <v>2017</v>
      </c>
      <c r="C619">
        <v>38</v>
      </c>
      <c r="D619" t="s">
        <v>16</v>
      </c>
      <c r="E619" t="s">
        <v>17</v>
      </c>
      <c r="F619">
        <v>7.3</v>
      </c>
      <c r="G619">
        <v>48.03</v>
      </c>
      <c r="H619">
        <v>190.37</v>
      </c>
      <c r="I619">
        <v>142.13</v>
      </c>
      <c r="J619">
        <v>2.96</v>
      </c>
      <c r="K619">
        <v>9.39</v>
      </c>
      <c r="L619">
        <v>2.2999999999999998</v>
      </c>
      <c r="M619">
        <v>1</v>
      </c>
      <c r="N619">
        <v>0</v>
      </c>
      <c r="O619" t="s">
        <v>20</v>
      </c>
    </row>
    <row r="620" spans="1:15" x14ac:dyDescent="0.35">
      <c r="A620" t="s">
        <v>15</v>
      </c>
      <c r="B620">
        <v>2017</v>
      </c>
      <c r="C620">
        <v>43</v>
      </c>
      <c r="D620" t="s">
        <v>16</v>
      </c>
      <c r="E620" t="s">
        <v>17</v>
      </c>
      <c r="F620">
        <v>6.88</v>
      </c>
      <c r="G620">
        <v>51.45</v>
      </c>
      <c r="H620">
        <v>140.44999999999999</v>
      </c>
      <c r="I620">
        <v>190.47</v>
      </c>
      <c r="J620">
        <v>3.7</v>
      </c>
      <c r="K620">
        <v>5.95</v>
      </c>
      <c r="L620">
        <v>1.45</v>
      </c>
      <c r="M620">
        <v>1</v>
      </c>
      <c r="N620">
        <v>0</v>
      </c>
      <c r="O620" t="s">
        <v>18</v>
      </c>
    </row>
    <row r="621" spans="1:15" x14ac:dyDescent="0.35">
      <c r="A621" t="s">
        <v>15</v>
      </c>
      <c r="B621">
        <v>2017</v>
      </c>
      <c r="C621">
        <v>78</v>
      </c>
      <c r="D621" t="s">
        <v>16</v>
      </c>
      <c r="E621" t="s">
        <v>19</v>
      </c>
      <c r="F621">
        <v>8.9499999999999993</v>
      </c>
      <c r="G621">
        <v>36.700000000000003</v>
      </c>
      <c r="H621">
        <v>154.41999999999999</v>
      </c>
      <c r="I621">
        <v>184.88</v>
      </c>
      <c r="J621">
        <v>5.04</v>
      </c>
      <c r="K621">
        <v>5.56</v>
      </c>
      <c r="L621">
        <v>1.36</v>
      </c>
      <c r="M621">
        <v>1</v>
      </c>
      <c r="N621">
        <v>0</v>
      </c>
      <c r="O621" t="s">
        <v>18</v>
      </c>
    </row>
    <row r="622" spans="1:15" x14ac:dyDescent="0.35">
      <c r="A622" t="s">
        <v>15</v>
      </c>
      <c r="B622">
        <v>2017</v>
      </c>
      <c r="C622">
        <v>24</v>
      </c>
      <c r="D622" t="s">
        <v>16</v>
      </c>
      <c r="E622" t="s">
        <v>17</v>
      </c>
      <c r="F622">
        <v>8.92</v>
      </c>
      <c r="G622">
        <v>53.81</v>
      </c>
      <c r="H622">
        <v>148.75</v>
      </c>
      <c r="I622">
        <v>234.97</v>
      </c>
      <c r="J622">
        <v>4.37</v>
      </c>
      <c r="K622">
        <v>10.19</v>
      </c>
      <c r="L622">
        <v>2.4900000000000002</v>
      </c>
      <c r="M622">
        <v>1</v>
      </c>
      <c r="N622">
        <v>0</v>
      </c>
      <c r="O622" t="s">
        <v>20</v>
      </c>
    </row>
    <row r="623" spans="1:15" x14ac:dyDescent="0.35">
      <c r="A623" t="s">
        <v>15</v>
      </c>
      <c r="B623">
        <v>2017</v>
      </c>
      <c r="C623">
        <v>58</v>
      </c>
      <c r="D623" t="s">
        <v>16</v>
      </c>
      <c r="E623" t="s">
        <v>17</v>
      </c>
      <c r="F623">
        <v>7.65</v>
      </c>
      <c r="G623">
        <v>28.88</v>
      </c>
      <c r="H623">
        <v>173.08</v>
      </c>
      <c r="I623">
        <v>236.52</v>
      </c>
      <c r="J623">
        <v>8.19</v>
      </c>
      <c r="K623">
        <v>9.61</v>
      </c>
      <c r="L623">
        <v>2.35</v>
      </c>
      <c r="M623">
        <v>1</v>
      </c>
      <c r="N623">
        <v>0</v>
      </c>
      <c r="O623" t="s">
        <v>20</v>
      </c>
    </row>
    <row r="624" spans="1:15" x14ac:dyDescent="0.35">
      <c r="A624" t="s">
        <v>15</v>
      </c>
      <c r="B624">
        <v>2017</v>
      </c>
      <c r="C624">
        <v>75</v>
      </c>
      <c r="D624" t="s">
        <v>16</v>
      </c>
      <c r="E624" t="s">
        <v>19</v>
      </c>
      <c r="F624">
        <v>8.67</v>
      </c>
      <c r="G624">
        <v>46.38</v>
      </c>
      <c r="H624">
        <v>159.91</v>
      </c>
      <c r="I624">
        <v>123.95</v>
      </c>
      <c r="J624">
        <v>2.67</v>
      </c>
      <c r="K624">
        <v>7.75</v>
      </c>
      <c r="L624">
        <v>1.89</v>
      </c>
      <c r="M624">
        <v>1</v>
      </c>
      <c r="N624">
        <v>0</v>
      </c>
      <c r="O624" t="s">
        <v>18</v>
      </c>
    </row>
    <row r="625" spans="1:15" x14ac:dyDescent="0.35">
      <c r="A625" t="s">
        <v>15</v>
      </c>
      <c r="B625">
        <v>2017</v>
      </c>
      <c r="C625">
        <v>16</v>
      </c>
      <c r="D625" t="s">
        <v>21</v>
      </c>
      <c r="E625" t="s">
        <v>24</v>
      </c>
      <c r="F625">
        <v>5.65</v>
      </c>
      <c r="G625">
        <v>46.91</v>
      </c>
      <c r="H625">
        <v>117.08</v>
      </c>
      <c r="I625">
        <v>176.25</v>
      </c>
      <c r="J625">
        <v>3.76</v>
      </c>
      <c r="K625">
        <v>7</v>
      </c>
      <c r="L625">
        <v>1.71</v>
      </c>
      <c r="M625">
        <v>0</v>
      </c>
      <c r="N625">
        <v>0</v>
      </c>
      <c r="O625" t="s">
        <v>23</v>
      </c>
    </row>
    <row r="626" spans="1:15" x14ac:dyDescent="0.35">
      <c r="A626" t="s">
        <v>15</v>
      </c>
      <c r="B626">
        <v>2017</v>
      </c>
      <c r="C626">
        <v>13</v>
      </c>
      <c r="D626" t="s">
        <v>16</v>
      </c>
      <c r="E626" t="s">
        <v>24</v>
      </c>
      <c r="F626">
        <v>7.48</v>
      </c>
      <c r="G626">
        <v>43.27</v>
      </c>
      <c r="H626">
        <v>180.59</v>
      </c>
      <c r="I626">
        <v>123.23</v>
      </c>
      <c r="J626">
        <v>2.85</v>
      </c>
      <c r="K626">
        <v>5</v>
      </c>
      <c r="L626">
        <v>1.22</v>
      </c>
      <c r="M626">
        <v>1</v>
      </c>
      <c r="N626">
        <v>0</v>
      </c>
      <c r="O626" t="s">
        <v>20</v>
      </c>
    </row>
    <row r="627" spans="1:15" x14ac:dyDescent="0.35">
      <c r="A627" t="s">
        <v>15</v>
      </c>
      <c r="B627">
        <v>2017</v>
      </c>
      <c r="C627">
        <v>12</v>
      </c>
      <c r="D627" t="s">
        <v>16</v>
      </c>
      <c r="E627" t="s">
        <v>22</v>
      </c>
      <c r="F627">
        <v>5.15</v>
      </c>
      <c r="G627">
        <v>40.29</v>
      </c>
      <c r="H627">
        <v>140.85</v>
      </c>
      <c r="I627">
        <v>274.06</v>
      </c>
      <c r="J627">
        <v>6.8</v>
      </c>
      <c r="K627">
        <v>7.45</v>
      </c>
      <c r="L627">
        <v>1.82</v>
      </c>
      <c r="M627">
        <v>0</v>
      </c>
      <c r="N627">
        <v>0</v>
      </c>
      <c r="O627" t="s">
        <v>20</v>
      </c>
    </row>
    <row r="628" spans="1:15" x14ac:dyDescent="0.35">
      <c r="A628" t="s">
        <v>15</v>
      </c>
      <c r="B628">
        <v>2017</v>
      </c>
      <c r="C628">
        <v>1</v>
      </c>
      <c r="D628" t="s">
        <v>16</v>
      </c>
      <c r="E628" t="s">
        <v>22</v>
      </c>
      <c r="F628">
        <v>5.62</v>
      </c>
      <c r="G628">
        <v>49.68</v>
      </c>
      <c r="H628">
        <v>175.89</v>
      </c>
      <c r="I628">
        <v>188.63</v>
      </c>
      <c r="J628">
        <v>3.8</v>
      </c>
      <c r="K628">
        <v>5.79</v>
      </c>
      <c r="L628">
        <v>1.41</v>
      </c>
      <c r="M628">
        <v>0</v>
      </c>
      <c r="N628">
        <v>0</v>
      </c>
      <c r="O628" t="s">
        <v>20</v>
      </c>
    </row>
    <row r="629" spans="1:15" x14ac:dyDescent="0.35">
      <c r="A629" t="s">
        <v>15</v>
      </c>
      <c r="B629">
        <v>2017</v>
      </c>
      <c r="C629">
        <v>28</v>
      </c>
      <c r="D629" t="s">
        <v>21</v>
      </c>
      <c r="E629" t="s">
        <v>17</v>
      </c>
      <c r="F629">
        <v>6.8</v>
      </c>
      <c r="G629">
        <v>65.56</v>
      </c>
      <c r="H629">
        <v>125.56</v>
      </c>
      <c r="I629">
        <v>175.79</v>
      </c>
      <c r="J629">
        <v>2.68</v>
      </c>
      <c r="K629">
        <v>6.96</v>
      </c>
      <c r="L629">
        <v>1.7</v>
      </c>
      <c r="M629">
        <v>1</v>
      </c>
      <c r="N629">
        <v>0</v>
      </c>
      <c r="O629" t="s">
        <v>23</v>
      </c>
    </row>
    <row r="630" spans="1:15" x14ac:dyDescent="0.35">
      <c r="A630" t="s">
        <v>15</v>
      </c>
      <c r="B630">
        <v>2017</v>
      </c>
      <c r="C630">
        <v>19</v>
      </c>
      <c r="D630" t="s">
        <v>16</v>
      </c>
      <c r="E630" t="s">
        <v>24</v>
      </c>
      <c r="F630">
        <v>6.31</v>
      </c>
      <c r="G630">
        <v>35.58</v>
      </c>
      <c r="H630">
        <v>138.43</v>
      </c>
      <c r="I630">
        <v>144.5</v>
      </c>
      <c r="J630">
        <v>4.0599999999999996</v>
      </c>
      <c r="K630">
        <v>9.1</v>
      </c>
      <c r="L630">
        <v>2.2200000000000002</v>
      </c>
      <c r="M630">
        <v>0</v>
      </c>
      <c r="N630">
        <v>0</v>
      </c>
      <c r="O630" t="s">
        <v>18</v>
      </c>
    </row>
    <row r="631" spans="1:15" x14ac:dyDescent="0.35">
      <c r="A631" t="s">
        <v>15</v>
      </c>
      <c r="B631">
        <v>2017</v>
      </c>
      <c r="C631">
        <v>85</v>
      </c>
      <c r="D631" t="s">
        <v>16</v>
      </c>
      <c r="E631" t="s">
        <v>19</v>
      </c>
      <c r="F631">
        <v>6.33</v>
      </c>
      <c r="G631">
        <v>28.74</v>
      </c>
      <c r="H631">
        <v>128.71</v>
      </c>
      <c r="I631">
        <v>254.27</v>
      </c>
      <c r="J631">
        <v>8.85</v>
      </c>
      <c r="K631">
        <v>10.08</v>
      </c>
      <c r="L631">
        <v>2.46</v>
      </c>
      <c r="M631">
        <v>0</v>
      </c>
      <c r="N631">
        <v>0</v>
      </c>
      <c r="O631" t="s">
        <v>20</v>
      </c>
    </row>
    <row r="632" spans="1:15" x14ac:dyDescent="0.35">
      <c r="A632" t="s">
        <v>15</v>
      </c>
      <c r="B632">
        <v>2017</v>
      </c>
      <c r="C632">
        <v>66</v>
      </c>
      <c r="D632" t="s">
        <v>16</v>
      </c>
      <c r="E632" t="s">
        <v>19</v>
      </c>
      <c r="F632">
        <v>8.51</v>
      </c>
      <c r="G632">
        <v>54.07</v>
      </c>
      <c r="H632">
        <v>178.92</v>
      </c>
      <c r="I632">
        <v>199.73</v>
      </c>
      <c r="J632">
        <v>3.69</v>
      </c>
      <c r="K632">
        <v>9.4499999999999993</v>
      </c>
      <c r="L632">
        <v>2.31</v>
      </c>
      <c r="M632">
        <v>1</v>
      </c>
      <c r="N632">
        <v>0</v>
      </c>
      <c r="O632" t="s">
        <v>20</v>
      </c>
    </row>
    <row r="633" spans="1:15" x14ac:dyDescent="0.35">
      <c r="A633" t="s">
        <v>15</v>
      </c>
      <c r="B633">
        <v>2017</v>
      </c>
      <c r="C633">
        <v>20</v>
      </c>
      <c r="D633" t="s">
        <v>16</v>
      </c>
      <c r="E633" t="s">
        <v>17</v>
      </c>
      <c r="F633">
        <v>6.59</v>
      </c>
      <c r="G633">
        <v>51.13</v>
      </c>
      <c r="H633">
        <v>118.07</v>
      </c>
      <c r="I633">
        <v>100.19</v>
      </c>
      <c r="J633">
        <v>1.96</v>
      </c>
      <c r="K633">
        <v>8.68</v>
      </c>
      <c r="L633">
        <v>2.12</v>
      </c>
      <c r="M633">
        <v>1</v>
      </c>
      <c r="N633">
        <v>0</v>
      </c>
      <c r="O633" t="s">
        <v>23</v>
      </c>
    </row>
    <row r="634" spans="1:15" x14ac:dyDescent="0.35">
      <c r="A634" t="s">
        <v>15</v>
      </c>
      <c r="B634">
        <v>2017</v>
      </c>
      <c r="C634">
        <v>78</v>
      </c>
      <c r="D634" t="s">
        <v>16</v>
      </c>
      <c r="E634" t="s">
        <v>19</v>
      </c>
      <c r="F634">
        <v>6.54</v>
      </c>
      <c r="G634">
        <v>44.57</v>
      </c>
      <c r="H634">
        <v>182.89</v>
      </c>
      <c r="I634">
        <v>164.69</v>
      </c>
      <c r="J634">
        <v>3.7</v>
      </c>
      <c r="K634">
        <v>7.74</v>
      </c>
      <c r="L634">
        <v>1.89</v>
      </c>
      <c r="M634">
        <v>1</v>
      </c>
      <c r="N634">
        <v>0</v>
      </c>
      <c r="O634" t="s">
        <v>20</v>
      </c>
    </row>
    <row r="635" spans="1:15" x14ac:dyDescent="0.35">
      <c r="A635" t="s">
        <v>15</v>
      </c>
      <c r="B635">
        <v>2017</v>
      </c>
      <c r="C635">
        <v>80</v>
      </c>
      <c r="D635" t="s">
        <v>16</v>
      </c>
      <c r="E635" t="s">
        <v>19</v>
      </c>
      <c r="F635">
        <v>8.33</v>
      </c>
      <c r="G635">
        <v>39.909999999999997</v>
      </c>
      <c r="H635">
        <v>201.38</v>
      </c>
      <c r="I635">
        <v>168.55</v>
      </c>
      <c r="J635">
        <v>4.22</v>
      </c>
      <c r="K635">
        <v>8.06</v>
      </c>
      <c r="L635">
        <v>1.97</v>
      </c>
      <c r="M635">
        <v>1</v>
      </c>
      <c r="N635">
        <v>0</v>
      </c>
      <c r="O635" t="s">
        <v>20</v>
      </c>
    </row>
    <row r="636" spans="1:15" x14ac:dyDescent="0.35">
      <c r="A636" t="s">
        <v>15</v>
      </c>
      <c r="B636">
        <v>2017</v>
      </c>
      <c r="C636">
        <v>78</v>
      </c>
      <c r="D636" t="s">
        <v>16</v>
      </c>
      <c r="E636" t="s">
        <v>19</v>
      </c>
      <c r="F636">
        <v>8.67</v>
      </c>
      <c r="G636">
        <v>38.83</v>
      </c>
      <c r="H636">
        <v>154.91999999999999</v>
      </c>
      <c r="I636">
        <v>210.33</v>
      </c>
      <c r="J636">
        <v>5.42</v>
      </c>
      <c r="K636">
        <v>12.63</v>
      </c>
      <c r="L636">
        <v>3.09</v>
      </c>
      <c r="M636">
        <v>1</v>
      </c>
      <c r="N636">
        <v>1</v>
      </c>
      <c r="O636" t="s">
        <v>20</v>
      </c>
    </row>
    <row r="637" spans="1:15" x14ac:dyDescent="0.35">
      <c r="A637" t="s">
        <v>15</v>
      </c>
      <c r="B637">
        <v>2017</v>
      </c>
      <c r="C637">
        <v>7</v>
      </c>
      <c r="D637" t="s">
        <v>21</v>
      </c>
      <c r="E637" t="s">
        <v>22</v>
      </c>
      <c r="F637">
        <v>6.96</v>
      </c>
      <c r="G637">
        <v>32.880000000000003</v>
      </c>
      <c r="H637">
        <v>159.58000000000001</v>
      </c>
      <c r="I637">
        <v>171.88</v>
      </c>
      <c r="J637">
        <v>5.23</v>
      </c>
      <c r="K637">
        <v>6.17</v>
      </c>
      <c r="L637">
        <v>1.51</v>
      </c>
      <c r="M637">
        <v>1</v>
      </c>
      <c r="N637">
        <v>0</v>
      </c>
      <c r="O637" t="s">
        <v>18</v>
      </c>
    </row>
    <row r="638" spans="1:15" x14ac:dyDescent="0.35">
      <c r="A638" t="s">
        <v>15</v>
      </c>
      <c r="B638">
        <v>2017</v>
      </c>
      <c r="C638">
        <v>3</v>
      </c>
      <c r="D638" t="s">
        <v>21</v>
      </c>
      <c r="E638" t="s">
        <v>22</v>
      </c>
      <c r="F638">
        <v>5.68</v>
      </c>
      <c r="G638">
        <v>45.33</v>
      </c>
      <c r="H638">
        <v>184.4</v>
      </c>
      <c r="I638">
        <v>239.15</v>
      </c>
      <c r="J638">
        <v>5.28</v>
      </c>
      <c r="K638">
        <v>6.06</v>
      </c>
      <c r="L638">
        <v>1.48</v>
      </c>
      <c r="M638">
        <v>0</v>
      </c>
      <c r="N638">
        <v>0</v>
      </c>
      <c r="O638" t="s">
        <v>20</v>
      </c>
    </row>
    <row r="639" spans="1:15" x14ac:dyDescent="0.35">
      <c r="A639" t="s">
        <v>15</v>
      </c>
      <c r="B639">
        <v>2017</v>
      </c>
      <c r="C639">
        <v>24</v>
      </c>
      <c r="D639" t="s">
        <v>21</v>
      </c>
      <c r="E639" t="s">
        <v>17</v>
      </c>
      <c r="F639">
        <v>6.45</v>
      </c>
      <c r="G639">
        <v>42.52</v>
      </c>
      <c r="H639">
        <v>130.33000000000001</v>
      </c>
      <c r="I639">
        <v>186.28</v>
      </c>
      <c r="J639">
        <v>4.38</v>
      </c>
      <c r="K639">
        <v>5.89</v>
      </c>
      <c r="L639">
        <v>1.44</v>
      </c>
      <c r="M639">
        <v>0</v>
      </c>
      <c r="N639">
        <v>0</v>
      </c>
      <c r="O639" t="s">
        <v>18</v>
      </c>
    </row>
    <row r="640" spans="1:15" x14ac:dyDescent="0.35">
      <c r="A640" t="s">
        <v>15</v>
      </c>
      <c r="B640">
        <v>2017</v>
      </c>
      <c r="C640">
        <v>75</v>
      </c>
      <c r="D640" t="s">
        <v>21</v>
      </c>
      <c r="E640" t="s">
        <v>19</v>
      </c>
      <c r="F640">
        <v>7.81</v>
      </c>
      <c r="G640">
        <v>60.07</v>
      </c>
      <c r="H640">
        <v>109.75</v>
      </c>
      <c r="I640">
        <v>169.35</v>
      </c>
      <c r="J640">
        <v>2.82</v>
      </c>
      <c r="K640">
        <v>5.68</v>
      </c>
      <c r="L640">
        <v>1.39</v>
      </c>
      <c r="M640">
        <v>1</v>
      </c>
      <c r="N640">
        <v>0</v>
      </c>
      <c r="O640" t="s">
        <v>23</v>
      </c>
    </row>
    <row r="641" spans="1:15" x14ac:dyDescent="0.35">
      <c r="A641" t="s">
        <v>15</v>
      </c>
      <c r="B641">
        <v>2017</v>
      </c>
      <c r="C641">
        <v>64</v>
      </c>
      <c r="D641" t="s">
        <v>16</v>
      </c>
      <c r="E641" t="s">
        <v>19</v>
      </c>
      <c r="F641">
        <v>8.2100000000000009</v>
      </c>
      <c r="G641">
        <v>39.51</v>
      </c>
      <c r="H641">
        <v>168.91</v>
      </c>
      <c r="I641">
        <v>192.15</v>
      </c>
      <c r="J641">
        <v>4.8600000000000003</v>
      </c>
      <c r="K641">
        <v>13.24</v>
      </c>
      <c r="L641">
        <v>3.24</v>
      </c>
      <c r="M641">
        <v>1</v>
      </c>
      <c r="N641">
        <v>1</v>
      </c>
      <c r="O641" t="s">
        <v>20</v>
      </c>
    </row>
    <row r="642" spans="1:15" x14ac:dyDescent="0.35">
      <c r="A642" t="s">
        <v>15</v>
      </c>
      <c r="B642">
        <v>2017</v>
      </c>
      <c r="C642">
        <v>65</v>
      </c>
      <c r="D642" t="s">
        <v>21</v>
      </c>
      <c r="E642" t="s">
        <v>19</v>
      </c>
      <c r="F642">
        <v>6.28</v>
      </c>
      <c r="G642">
        <v>31.9</v>
      </c>
      <c r="H642">
        <v>193.59</v>
      </c>
      <c r="I642">
        <v>170.39</v>
      </c>
      <c r="J642">
        <v>5.34</v>
      </c>
      <c r="K642">
        <v>5.26</v>
      </c>
      <c r="L642">
        <v>1.29</v>
      </c>
      <c r="M642">
        <v>0</v>
      </c>
      <c r="N642">
        <v>0</v>
      </c>
      <c r="O642" t="s">
        <v>20</v>
      </c>
    </row>
    <row r="643" spans="1:15" x14ac:dyDescent="0.35">
      <c r="A643" t="s">
        <v>15</v>
      </c>
      <c r="B643">
        <v>2017</v>
      </c>
      <c r="C643">
        <v>5</v>
      </c>
      <c r="D643" t="s">
        <v>21</v>
      </c>
      <c r="E643" t="s">
        <v>22</v>
      </c>
      <c r="F643">
        <v>8.9700000000000006</v>
      </c>
      <c r="G643">
        <v>60.86</v>
      </c>
      <c r="H643">
        <v>136.99</v>
      </c>
      <c r="I643">
        <v>146.53</v>
      </c>
      <c r="J643">
        <v>2.41</v>
      </c>
      <c r="K643">
        <v>5.12</v>
      </c>
      <c r="L643">
        <v>1.25</v>
      </c>
      <c r="M643">
        <v>1</v>
      </c>
      <c r="N643">
        <v>0</v>
      </c>
      <c r="O643" t="s">
        <v>18</v>
      </c>
    </row>
    <row r="644" spans="1:15" x14ac:dyDescent="0.35">
      <c r="A644" t="s">
        <v>15</v>
      </c>
      <c r="B644">
        <v>2017</v>
      </c>
      <c r="C644">
        <v>29</v>
      </c>
      <c r="D644" t="s">
        <v>21</v>
      </c>
      <c r="E644" t="s">
        <v>17</v>
      </c>
      <c r="F644">
        <v>8.4499999999999993</v>
      </c>
      <c r="G644">
        <v>26.21</v>
      </c>
      <c r="H644">
        <v>166.71</v>
      </c>
      <c r="I644">
        <v>224.23</v>
      </c>
      <c r="J644">
        <v>8.5500000000000007</v>
      </c>
      <c r="K644">
        <v>5.05</v>
      </c>
      <c r="L644">
        <v>1.23</v>
      </c>
      <c r="M644">
        <v>1</v>
      </c>
      <c r="N644">
        <v>0</v>
      </c>
      <c r="O644" t="s">
        <v>20</v>
      </c>
    </row>
    <row r="645" spans="1:15" x14ac:dyDescent="0.35">
      <c r="A645" t="s">
        <v>15</v>
      </c>
      <c r="B645">
        <v>2017</v>
      </c>
      <c r="C645">
        <v>82</v>
      </c>
      <c r="D645" t="s">
        <v>16</v>
      </c>
      <c r="E645" t="s">
        <v>19</v>
      </c>
      <c r="F645">
        <v>8</v>
      </c>
      <c r="G645">
        <v>66.739999999999995</v>
      </c>
      <c r="H645">
        <v>156.77000000000001</v>
      </c>
      <c r="I645">
        <v>128.33000000000001</v>
      </c>
      <c r="J645">
        <v>1.92</v>
      </c>
      <c r="K645">
        <v>13.79</v>
      </c>
      <c r="L645">
        <v>3.37</v>
      </c>
      <c r="M645">
        <v>1</v>
      </c>
      <c r="N645">
        <v>1</v>
      </c>
      <c r="O645" t="s">
        <v>18</v>
      </c>
    </row>
    <row r="646" spans="1:15" x14ac:dyDescent="0.35">
      <c r="A646" t="s">
        <v>15</v>
      </c>
      <c r="B646">
        <v>2017</v>
      </c>
      <c r="C646">
        <v>71</v>
      </c>
      <c r="D646" t="s">
        <v>21</v>
      </c>
      <c r="E646" t="s">
        <v>19</v>
      </c>
      <c r="F646">
        <v>8.7899999999999991</v>
      </c>
      <c r="G646">
        <v>51.28</v>
      </c>
      <c r="H646">
        <v>93.67</v>
      </c>
      <c r="I646">
        <v>121.39</v>
      </c>
      <c r="J646">
        <v>2.37</v>
      </c>
      <c r="K646">
        <v>4.7300000000000004</v>
      </c>
      <c r="L646">
        <v>1.1599999999999999</v>
      </c>
      <c r="M646">
        <v>1</v>
      </c>
      <c r="N646">
        <v>0</v>
      </c>
      <c r="O646" t="s">
        <v>23</v>
      </c>
    </row>
    <row r="647" spans="1:15" x14ac:dyDescent="0.35">
      <c r="A647" t="s">
        <v>15</v>
      </c>
      <c r="B647">
        <v>2017</v>
      </c>
      <c r="C647">
        <v>19</v>
      </c>
      <c r="D647" t="s">
        <v>21</v>
      </c>
      <c r="E647" t="s">
        <v>24</v>
      </c>
      <c r="F647">
        <v>8.6199999999999992</v>
      </c>
      <c r="G647">
        <v>36.67</v>
      </c>
      <c r="H647">
        <v>140.5</v>
      </c>
      <c r="I647">
        <v>213.39</v>
      </c>
      <c r="J647">
        <v>5.82</v>
      </c>
      <c r="K647">
        <v>4.1100000000000003</v>
      </c>
      <c r="L647">
        <v>1</v>
      </c>
      <c r="M647">
        <v>1</v>
      </c>
      <c r="N647">
        <v>0</v>
      </c>
      <c r="O647" t="s">
        <v>20</v>
      </c>
    </row>
    <row r="648" spans="1:15" x14ac:dyDescent="0.35">
      <c r="A648" t="s">
        <v>15</v>
      </c>
      <c r="B648">
        <v>2017</v>
      </c>
      <c r="C648">
        <v>25</v>
      </c>
      <c r="D648" t="s">
        <v>21</v>
      </c>
      <c r="E648" t="s">
        <v>17</v>
      </c>
      <c r="F648">
        <v>7.15</v>
      </c>
      <c r="G648">
        <v>44.47</v>
      </c>
      <c r="H648">
        <v>190</v>
      </c>
      <c r="I648">
        <v>247.76</v>
      </c>
      <c r="J648">
        <v>5.57</v>
      </c>
      <c r="K648">
        <v>3.88</v>
      </c>
      <c r="L648">
        <v>0.95</v>
      </c>
      <c r="M648">
        <v>1</v>
      </c>
      <c r="N648">
        <v>0</v>
      </c>
      <c r="O648" t="s">
        <v>20</v>
      </c>
    </row>
    <row r="649" spans="1:15" x14ac:dyDescent="0.35">
      <c r="A649" t="s">
        <v>15</v>
      </c>
      <c r="B649">
        <v>2017</v>
      </c>
      <c r="C649">
        <v>5</v>
      </c>
      <c r="D649" t="s">
        <v>21</v>
      </c>
      <c r="E649" t="s">
        <v>22</v>
      </c>
      <c r="F649">
        <v>6.36</v>
      </c>
      <c r="G649">
        <v>33.380000000000003</v>
      </c>
      <c r="H649">
        <v>172.02</v>
      </c>
      <c r="I649">
        <v>220.84</v>
      </c>
      <c r="J649">
        <v>6.62</v>
      </c>
      <c r="K649">
        <v>3.51</v>
      </c>
      <c r="L649">
        <v>0.86</v>
      </c>
      <c r="M649">
        <v>0</v>
      </c>
      <c r="N649">
        <v>0</v>
      </c>
      <c r="O649" t="s">
        <v>20</v>
      </c>
    </row>
    <row r="650" spans="1:15" x14ac:dyDescent="0.35">
      <c r="A650" t="s">
        <v>15</v>
      </c>
      <c r="B650">
        <v>2017</v>
      </c>
      <c r="C650">
        <v>3</v>
      </c>
      <c r="D650" t="s">
        <v>21</v>
      </c>
      <c r="E650" t="s">
        <v>22</v>
      </c>
      <c r="F650">
        <v>6.39</v>
      </c>
      <c r="G650">
        <v>25.3</v>
      </c>
      <c r="H650">
        <v>132.15</v>
      </c>
      <c r="I650">
        <v>197.73</v>
      </c>
      <c r="J650">
        <v>7.81</v>
      </c>
      <c r="K650">
        <v>1</v>
      </c>
      <c r="L650">
        <v>0.24</v>
      </c>
      <c r="M650">
        <v>0</v>
      </c>
      <c r="N650">
        <v>0</v>
      </c>
      <c r="O650" t="s">
        <v>18</v>
      </c>
    </row>
    <row r="651" spans="1:15" x14ac:dyDescent="0.35">
      <c r="A651" t="s">
        <v>15</v>
      </c>
      <c r="B651">
        <v>2017</v>
      </c>
      <c r="C651">
        <v>53</v>
      </c>
      <c r="D651" t="s">
        <v>21</v>
      </c>
      <c r="E651" t="s">
        <v>17</v>
      </c>
      <c r="F651">
        <v>7.72</v>
      </c>
      <c r="G651">
        <v>48.73</v>
      </c>
      <c r="H651">
        <v>176.84</v>
      </c>
      <c r="I651">
        <v>188.81</v>
      </c>
      <c r="J651">
        <v>3.87</v>
      </c>
      <c r="K651">
        <v>-0.67</v>
      </c>
      <c r="L651">
        <v>-0.16</v>
      </c>
      <c r="M651">
        <v>1</v>
      </c>
      <c r="N651">
        <v>0</v>
      </c>
      <c r="O651" t="s">
        <v>20</v>
      </c>
    </row>
    <row r="652" spans="1:15" x14ac:dyDescent="0.35">
      <c r="A652" t="s">
        <v>15</v>
      </c>
      <c r="B652">
        <v>2018</v>
      </c>
      <c r="C652">
        <v>67</v>
      </c>
      <c r="D652" t="s">
        <v>21</v>
      </c>
      <c r="E652" t="s">
        <v>19</v>
      </c>
      <c r="F652">
        <v>9.36</v>
      </c>
      <c r="G652">
        <v>39.42</v>
      </c>
      <c r="H652">
        <v>178.46</v>
      </c>
      <c r="I652">
        <v>191.36</v>
      </c>
      <c r="J652">
        <v>4.8499999999999996</v>
      </c>
      <c r="K652">
        <v>11.45</v>
      </c>
      <c r="L652">
        <v>2.8</v>
      </c>
      <c r="M652">
        <v>1</v>
      </c>
      <c r="N652">
        <v>1</v>
      </c>
      <c r="O652" t="s">
        <v>20</v>
      </c>
    </row>
    <row r="653" spans="1:15" x14ac:dyDescent="0.35">
      <c r="A653" t="s">
        <v>15</v>
      </c>
      <c r="B653">
        <v>2018</v>
      </c>
      <c r="C653">
        <v>41</v>
      </c>
      <c r="D653" t="s">
        <v>21</v>
      </c>
      <c r="E653" t="s">
        <v>17</v>
      </c>
      <c r="F653">
        <v>8.2200000000000006</v>
      </c>
      <c r="G653">
        <v>44.31</v>
      </c>
      <c r="H653">
        <v>119.1</v>
      </c>
      <c r="I653">
        <v>93.12</v>
      </c>
      <c r="J653">
        <v>2.1</v>
      </c>
      <c r="K653">
        <v>11.47</v>
      </c>
      <c r="L653">
        <v>2.8</v>
      </c>
      <c r="M653">
        <v>1</v>
      </c>
      <c r="N653">
        <v>1</v>
      </c>
      <c r="O653" t="s">
        <v>23</v>
      </c>
    </row>
    <row r="654" spans="1:15" x14ac:dyDescent="0.35">
      <c r="A654" t="s">
        <v>15</v>
      </c>
      <c r="B654">
        <v>2018</v>
      </c>
      <c r="C654">
        <v>32</v>
      </c>
      <c r="D654" t="s">
        <v>21</v>
      </c>
      <c r="E654" t="s">
        <v>17</v>
      </c>
      <c r="F654">
        <v>6.73</v>
      </c>
      <c r="G654">
        <v>55.37</v>
      </c>
      <c r="H654">
        <v>185.77</v>
      </c>
      <c r="I654">
        <v>132.71</v>
      </c>
      <c r="J654">
        <v>2.4</v>
      </c>
      <c r="K654">
        <v>11.49</v>
      </c>
      <c r="L654">
        <v>2.81</v>
      </c>
      <c r="M654">
        <v>1</v>
      </c>
      <c r="N654">
        <v>1</v>
      </c>
      <c r="O654" t="s">
        <v>20</v>
      </c>
    </row>
    <row r="655" spans="1:15" x14ac:dyDescent="0.35">
      <c r="A655" t="s">
        <v>15</v>
      </c>
      <c r="B655">
        <v>2018</v>
      </c>
      <c r="C655">
        <v>50</v>
      </c>
      <c r="D655" t="s">
        <v>21</v>
      </c>
      <c r="E655" t="s">
        <v>17</v>
      </c>
      <c r="F655">
        <v>7.8</v>
      </c>
      <c r="G655">
        <v>35.22</v>
      </c>
      <c r="H655">
        <v>131.46</v>
      </c>
      <c r="I655">
        <v>150.08000000000001</v>
      </c>
      <c r="J655">
        <v>4.26</v>
      </c>
      <c r="K655">
        <v>12.53</v>
      </c>
      <c r="L655">
        <v>3.06</v>
      </c>
      <c r="M655">
        <v>1</v>
      </c>
      <c r="N655">
        <v>1</v>
      </c>
      <c r="O655" t="s">
        <v>18</v>
      </c>
    </row>
    <row r="656" spans="1:15" x14ac:dyDescent="0.35">
      <c r="A656" t="s">
        <v>15</v>
      </c>
      <c r="B656">
        <v>2018</v>
      </c>
      <c r="C656">
        <v>65</v>
      </c>
      <c r="D656" t="s">
        <v>16</v>
      </c>
      <c r="E656" t="s">
        <v>19</v>
      </c>
      <c r="F656">
        <v>9.3699999999999992</v>
      </c>
      <c r="G656">
        <v>8.39</v>
      </c>
      <c r="H656">
        <v>165.76</v>
      </c>
      <c r="I656">
        <v>296.43</v>
      </c>
      <c r="J656">
        <v>35.33</v>
      </c>
      <c r="K656">
        <v>10.5</v>
      </c>
      <c r="L656">
        <v>2.57</v>
      </c>
      <c r="M656">
        <v>1</v>
      </c>
      <c r="N656">
        <v>1</v>
      </c>
      <c r="O656" t="s">
        <v>20</v>
      </c>
    </row>
    <row r="657" spans="1:15" x14ac:dyDescent="0.35">
      <c r="A657" t="s">
        <v>15</v>
      </c>
      <c r="B657">
        <v>2018</v>
      </c>
      <c r="C657">
        <v>54</v>
      </c>
      <c r="D657" t="s">
        <v>21</v>
      </c>
      <c r="E657" t="s">
        <v>17</v>
      </c>
      <c r="F657">
        <v>7.89</v>
      </c>
      <c r="G657">
        <v>42.53</v>
      </c>
      <c r="H657">
        <v>186.71</v>
      </c>
      <c r="I657">
        <v>199.38</v>
      </c>
      <c r="J657">
        <v>4.6900000000000004</v>
      </c>
      <c r="K657">
        <v>13.84</v>
      </c>
      <c r="L657">
        <v>3.38</v>
      </c>
      <c r="M657">
        <v>1</v>
      </c>
      <c r="N657">
        <v>1</v>
      </c>
      <c r="O657" t="s">
        <v>20</v>
      </c>
    </row>
    <row r="658" spans="1:15" x14ac:dyDescent="0.35">
      <c r="A658" t="s">
        <v>15</v>
      </c>
      <c r="B658">
        <v>2018</v>
      </c>
      <c r="C658">
        <v>82</v>
      </c>
      <c r="D658" t="s">
        <v>21</v>
      </c>
      <c r="E658" t="s">
        <v>19</v>
      </c>
      <c r="F658">
        <v>9.9600000000000009</v>
      </c>
      <c r="G658">
        <v>34.35</v>
      </c>
      <c r="H658">
        <v>164.09</v>
      </c>
      <c r="I658">
        <v>302.31</v>
      </c>
      <c r="J658">
        <v>8.8000000000000007</v>
      </c>
      <c r="K658">
        <v>14.17</v>
      </c>
      <c r="L658">
        <v>3.46</v>
      </c>
      <c r="M658">
        <v>1</v>
      </c>
      <c r="N658">
        <v>1</v>
      </c>
      <c r="O658" t="s">
        <v>20</v>
      </c>
    </row>
    <row r="659" spans="1:15" x14ac:dyDescent="0.35">
      <c r="A659" t="s">
        <v>15</v>
      </c>
      <c r="B659">
        <v>2018</v>
      </c>
      <c r="C659">
        <v>69</v>
      </c>
      <c r="D659" t="s">
        <v>16</v>
      </c>
      <c r="E659" t="s">
        <v>19</v>
      </c>
      <c r="F659">
        <v>8.44</v>
      </c>
      <c r="G659">
        <v>53.37</v>
      </c>
      <c r="H659">
        <v>176.06</v>
      </c>
      <c r="I659">
        <v>158.37</v>
      </c>
      <c r="J659">
        <v>2.97</v>
      </c>
      <c r="K659">
        <v>10.64</v>
      </c>
      <c r="L659">
        <v>2.6</v>
      </c>
      <c r="M659">
        <v>1</v>
      </c>
      <c r="N659">
        <v>1</v>
      </c>
      <c r="O659" t="s">
        <v>20</v>
      </c>
    </row>
    <row r="660" spans="1:15" x14ac:dyDescent="0.35">
      <c r="A660" t="s">
        <v>15</v>
      </c>
      <c r="B660">
        <v>2018</v>
      </c>
      <c r="C660">
        <v>58</v>
      </c>
      <c r="D660" t="s">
        <v>21</v>
      </c>
      <c r="E660" t="s">
        <v>17</v>
      </c>
      <c r="F660">
        <v>8.4499999999999993</v>
      </c>
      <c r="G660">
        <v>40.409999999999997</v>
      </c>
      <c r="H660">
        <v>192.88</v>
      </c>
      <c r="I660">
        <v>249.56</v>
      </c>
      <c r="J660">
        <v>6.17</v>
      </c>
      <c r="K660">
        <v>10.65</v>
      </c>
      <c r="L660">
        <v>2.6</v>
      </c>
      <c r="M660">
        <v>1</v>
      </c>
      <c r="N660">
        <v>1</v>
      </c>
      <c r="O660" t="s">
        <v>20</v>
      </c>
    </row>
    <row r="661" spans="1:15" x14ac:dyDescent="0.35">
      <c r="A661" t="s">
        <v>15</v>
      </c>
      <c r="B661">
        <v>2018</v>
      </c>
      <c r="C661">
        <v>4</v>
      </c>
      <c r="D661" t="s">
        <v>16</v>
      </c>
      <c r="E661" t="s">
        <v>22</v>
      </c>
      <c r="F661">
        <v>8.6300000000000008</v>
      </c>
      <c r="G661">
        <v>57.68</v>
      </c>
      <c r="H661">
        <v>106.28</v>
      </c>
      <c r="I661">
        <v>109.13</v>
      </c>
      <c r="J661">
        <v>1.89</v>
      </c>
      <c r="K661">
        <v>10.87</v>
      </c>
      <c r="L661">
        <v>2.66</v>
      </c>
      <c r="M661">
        <v>1</v>
      </c>
      <c r="N661">
        <v>1</v>
      </c>
      <c r="O661" t="s">
        <v>23</v>
      </c>
    </row>
    <row r="662" spans="1:15" x14ac:dyDescent="0.35">
      <c r="A662" t="s">
        <v>15</v>
      </c>
      <c r="B662">
        <v>2018</v>
      </c>
      <c r="C662">
        <v>45</v>
      </c>
      <c r="D662" t="s">
        <v>16</v>
      </c>
      <c r="E662" t="s">
        <v>17</v>
      </c>
      <c r="F662">
        <v>8.25</v>
      </c>
      <c r="G662">
        <v>56.57</v>
      </c>
      <c r="H662">
        <v>153.30000000000001</v>
      </c>
      <c r="I662">
        <v>226.68</v>
      </c>
      <c r="J662">
        <v>4.01</v>
      </c>
      <c r="K662">
        <v>11.26</v>
      </c>
      <c r="L662">
        <v>2.75</v>
      </c>
      <c r="M662">
        <v>1</v>
      </c>
      <c r="N662">
        <v>1</v>
      </c>
      <c r="O662" t="s">
        <v>20</v>
      </c>
    </row>
    <row r="663" spans="1:15" x14ac:dyDescent="0.35">
      <c r="A663" t="s">
        <v>15</v>
      </c>
      <c r="B663">
        <v>2018</v>
      </c>
      <c r="C663">
        <v>14</v>
      </c>
      <c r="D663" t="s">
        <v>21</v>
      </c>
      <c r="E663" t="s">
        <v>24</v>
      </c>
      <c r="F663">
        <v>7.6</v>
      </c>
      <c r="G663">
        <v>51.66</v>
      </c>
      <c r="H663">
        <v>184.79</v>
      </c>
      <c r="I663">
        <v>203.69</v>
      </c>
      <c r="J663">
        <v>3.94</v>
      </c>
      <c r="K663">
        <v>8.83</v>
      </c>
      <c r="L663">
        <v>2.16</v>
      </c>
      <c r="M663">
        <v>1</v>
      </c>
      <c r="N663">
        <v>0</v>
      </c>
      <c r="O663" t="s">
        <v>20</v>
      </c>
    </row>
    <row r="664" spans="1:15" x14ac:dyDescent="0.35">
      <c r="A664" t="s">
        <v>15</v>
      </c>
      <c r="B664">
        <v>2018</v>
      </c>
      <c r="C664">
        <v>55</v>
      </c>
      <c r="D664" t="s">
        <v>21</v>
      </c>
      <c r="E664" t="s">
        <v>17</v>
      </c>
      <c r="F664">
        <v>7.67</v>
      </c>
      <c r="G664">
        <v>54.37</v>
      </c>
      <c r="H664">
        <v>133.06</v>
      </c>
      <c r="I664">
        <v>222.98</v>
      </c>
      <c r="J664">
        <v>4.0999999999999996</v>
      </c>
      <c r="K664">
        <v>8.7899999999999991</v>
      </c>
      <c r="L664">
        <v>2.15</v>
      </c>
      <c r="M664">
        <v>1</v>
      </c>
      <c r="N664">
        <v>0</v>
      </c>
      <c r="O664" t="s">
        <v>20</v>
      </c>
    </row>
    <row r="665" spans="1:15" x14ac:dyDescent="0.35">
      <c r="A665" t="s">
        <v>15</v>
      </c>
      <c r="B665">
        <v>2018</v>
      </c>
      <c r="C665">
        <v>65</v>
      </c>
      <c r="D665" t="s">
        <v>21</v>
      </c>
      <c r="E665" t="s">
        <v>19</v>
      </c>
      <c r="F665">
        <v>9.07</v>
      </c>
      <c r="G665">
        <v>69.78</v>
      </c>
      <c r="H665">
        <v>140.46</v>
      </c>
      <c r="I665">
        <v>214.36</v>
      </c>
      <c r="J665">
        <v>3.07</v>
      </c>
      <c r="K665">
        <v>8.35</v>
      </c>
      <c r="L665">
        <v>2.04</v>
      </c>
      <c r="M665">
        <v>1</v>
      </c>
      <c r="N665">
        <v>0</v>
      </c>
      <c r="O665" t="s">
        <v>20</v>
      </c>
    </row>
    <row r="666" spans="1:15" x14ac:dyDescent="0.35">
      <c r="A666" t="s">
        <v>15</v>
      </c>
      <c r="B666">
        <v>2018</v>
      </c>
      <c r="C666">
        <v>79</v>
      </c>
      <c r="D666" t="s">
        <v>21</v>
      </c>
      <c r="E666" t="s">
        <v>19</v>
      </c>
      <c r="F666">
        <v>6.82</v>
      </c>
      <c r="G666">
        <v>40.75</v>
      </c>
      <c r="H666">
        <v>162.43</v>
      </c>
      <c r="I666">
        <v>126.27</v>
      </c>
      <c r="J666">
        <v>3.1</v>
      </c>
      <c r="K666">
        <v>7.69</v>
      </c>
      <c r="L666">
        <v>1.88</v>
      </c>
      <c r="M666">
        <v>1</v>
      </c>
      <c r="N666">
        <v>0</v>
      </c>
      <c r="O666" t="s">
        <v>20</v>
      </c>
    </row>
    <row r="667" spans="1:15" x14ac:dyDescent="0.35">
      <c r="A667" t="s">
        <v>15</v>
      </c>
      <c r="B667">
        <v>2018</v>
      </c>
      <c r="C667">
        <v>59</v>
      </c>
      <c r="D667" t="s">
        <v>16</v>
      </c>
      <c r="E667" t="s">
        <v>17</v>
      </c>
      <c r="F667">
        <v>6.62</v>
      </c>
      <c r="G667">
        <v>39.369999999999997</v>
      </c>
      <c r="H667">
        <v>136.32</v>
      </c>
      <c r="I667">
        <v>220.15</v>
      </c>
      <c r="J667">
        <v>5.59</v>
      </c>
      <c r="K667">
        <v>12.37</v>
      </c>
      <c r="L667">
        <v>3.02</v>
      </c>
      <c r="M667">
        <v>1</v>
      </c>
      <c r="N667">
        <v>1</v>
      </c>
      <c r="O667" t="s">
        <v>20</v>
      </c>
    </row>
    <row r="668" spans="1:15" x14ac:dyDescent="0.35">
      <c r="A668" t="s">
        <v>15</v>
      </c>
      <c r="B668">
        <v>2018</v>
      </c>
      <c r="C668">
        <v>70</v>
      </c>
      <c r="D668" t="s">
        <v>21</v>
      </c>
      <c r="E668" t="s">
        <v>19</v>
      </c>
      <c r="F668">
        <v>9.09</v>
      </c>
      <c r="G668">
        <v>45.31</v>
      </c>
      <c r="H668">
        <v>132.84</v>
      </c>
      <c r="I668">
        <v>220.56</v>
      </c>
      <c r="J668">
        <v>4.87</v>
      </c>
      <c r="K668">
        <v>7.11</v>
      </c>
      <c r="L668">
        <v>1.74</v>
      </c>
      <c r="M668">
        <v>1</v>
      </c>
      <c r="N668">
        <v>0</v>
      </c>
      <c r="O668" t="s">
        <v>20</v>
      </c>
    </row>
    <row r="669" spans="1:15" x14ac:dyDescent="0.35">
      <c r="A669" t="s">
        <v>15</v>
      </c>
      <c r="B669">
        <v>2018</v>
      </c>
      <c r="C669">
        <v>35</v>
      </c>
      <c r="D669" t="s">
        <v>16</v>
      </c>
      <c r="E669" t="s">
        <v>17</v>
      </c>
      <c r="F669">
        <v>5.49</v>
      </c>
      <c r="G669">
        <v>53.3</v>
      </c>
      <c r="H669">
        <v>133.46</v>
      </c>
      <c r="I669">
        <v>224.19</v>
      </c>
      <c r="J669">
        <v>4.21</v>
      </c>
      <c r="K669">
        <v>12.39</v>
      </c>
      <c r="L669">
        <v>3.03</v>
      </c>
      <c r="M669">
        <v>0</v>
      </c>
      <c r="N669">
        <v>1</v>
      </c>
      <c r="O669" t="s">
        <v>20</v>
      </c>
    </row>
    <row r="670" spans="1:15" x14ac:dyDescent="0.35">
      <c r="A670" t="s">
        <v>15</v>
      </c>
      <c r="B670">
        <v>2018</v>
      </c>
      <c r="C670">
        <v>34</v>
      </c>
      <c r="D670" t="s">
        <v>16</v>
      </c>
      <c r="E670" t="s">
        <v>17</v>
      </c>
      <c r="F670">
        <v>6.77</v>
      </c>
      <c r="G670">
        <v>29.37</v>
      </c>
      <c r="H670">
        <v>118.65</v>
      </c>
      <c r="I670">
        <v>202.52</v>
      </c>
      <c r="J670">
        <v>6.9</v>
      </c>
      <c r="K670">
        <v>12.52</v>
      </c>
      <c r="L670">
        <v>3.06</v>
      </c>
      <c r="M670">
        <v>1</v>
      </c>
      <c r="N670">
        <v>1</v>
      </c>
      <c r="O670" t="s">
        <v>20</v>
      </c>
    </row>
    <row r="671" spans="1:15" x14ac:dyDescent="0.35">
      <c r="A671" t="s">
        <v>15</v>
      </c>
      <c r="B671">
        <v>2018</v>
      </c>
      <c r="C671">
        <v>55</v>
      </c>
      <c r="D671" t="s">
        <v>16</v>
      </c>
      <c r="E671" t="s">
        <v>17</v>
      </c>
      <c r="F671">
        <v>8.1199999999999992</v>
      </c>
      <c r="G671">
        <v>66.45</v>
      </c>
      <c r="H671">
        <v>179.54</v>
      </c>
      <c r="I671">
        <v>149.28</v>
      </c>
      <c r="J671">
        <v>2.25</v>
      </c>
      <c r="K671">
        <v>8.83</v>
      </c>
      <c r="L671">
        <v>2.16</v>
      </c>
      <c r="M671">
        <v>1</v>
      </c>
      <c r="N671">
        <v>0</v>
      </c>
      <c r="O671" t="s">
        <v>20</v>
      </c>
    </row>
    <row r="672" spans="1:15" x14ac:dyDescent="0.35">
      <c r="A672" t="s">
        <v>15</v>
      </c>
      <c r="B672">
        <v>2018</v>
      </c>
      <c r="C672">
        <v>80</v>
      </c>
      <c r="D672" t="s">
        <v>21</v>
      </c>
      <c r="E672" t="s">
        <v>19</v>
      </c>
      <c r="F672">
        <v>10.27</v>
      </c>
      <c r="G672">
        <v>31.62</v>
      </c>
      <c r="H672">
        <v>128.6</v>
      </c>
      <c r="I672">
        <v>210.73</v>
      </c>
      <c r="J672">
        <v>6.66</v>
      </c>
      <c r="K672">
        <v>6.6</v>
      </c>
      <c r="L672">
        <v>1.61</v>
      </c>
      <c r="M672">
        <v>1</v>
      </c>
      <c r="N672">
        <v>0</v>
      </c>
      <c r="O672" t="s">
        <v>20</v>
      </c>
    </row>
    <row r="673" spans="1:15" x14ac:dyDescent="0.35">
      <c r="A673" t="s">
        <v>15</v>
      </c>
      <c r="B673">
        <v>2018</v>
      </c>
      <c r="C673">
        <v>59</v>
      </c>
      <c r="D673" t="s">
        <v>16</v>
      </c>
      <c r="E673" t="s">
        <v>17</v>
      </c>
      <c r="F673">
        <v>8.83</v>
      </c>
      <c r="G673">
        <v>48.44</v>
      </c>
      <c r="H673">
        <v>178.74</v>
      </c>
      <c r="I673">
        <v>209.52</v>
      </c>
      <c r="J673">
        <v>4.33</v>
      </c>
      <c r="K673">
        <v>8.89</v>
      </c>
      <c r="L673">
        <v>2.17</v>
      </c>
      <c r="M673">
        <v>1</v>
      </c>
      <c r="N673">
        <v>0</v>
      </c>
      <c r="O673" t="s">
        <v>20</v>
      </c>
    </row>
    <row r="674" spans="1:15" x14ac:dyDescent="0.35">
      <c r="A674" t="s">
        <v>15</v>
      </c>
      <c r="B674">
        <v>2018</v>
      </c>
      <c r="C674">
        <v>53</v>
      </c>
      <c r="D674" t="s">
        <v>16</v>
      </c>
      <c r="E674" t="s">
        <v>17</v>
      </c>
      <c r="F674">
        <v>8.7899999999999991</v>
      </c>
      <c r="G674">
        <v>49.13</v>
      </c>
      <c r="H674">
        <v>139.72999999999999</v>
      </c>
      <c r="I674">
        <v>142.72</v>
      </c>
      <c r="J674">
        <v>2.9</v>
      </c>
      <c r="K674">
        <v>7.31</v>
      </c>
      <c r="L674">
        <v>1.79</v>
      </c>
      <c r="M674">
        <v>1</v>
      </c>
      <c r="N674">
        <v>0</v>
      </c>
      <c r="O674" t="s">
        <v>18</v>
      </c>
    </row>
    <row r="675" spans="1:15" x14ac:dyDescent="0.35">
      <c r="A675" t="s">
        <v>15</v>
      </c>
      <c r="B675">
        <v>2018</v>
      </c>
      <c r="C675">
        <v>53</v>
      </c>
      <c r="D675" t="s">
        <v>16</v>
      </c>
      <c r="E675" t="s">
        <v>17</v>
      </c>
      <c r="F675">
        <v>8.99</v>
      </c>
      <c r="G675">
        <v>43.97</v>
      </c>
      <c r="H675">
        <v>171.1</v>
      </c>
      <c r="I675">
        <v>138.72</v>
      </c>
      <c r="J675">
        <v>3.15</v>
      </c>
      <c r="K675">
        <v>7.53</v>
      </c>
      <c r="L675">
        <v>1.84</v>
      </c>
      <c r="M675">
        <v>1</v>
      </c>
      <c r="N675">
        <v>0</v>
      </c>
      <c r="O675" t="s">
        <v>20</v>
      </c>
    </row>
    <row r="676" spans="1:15" x14ac:dyDescent="0.35">
      <c r="A676" t="s">
        <v>15</v>
      </c>
      <c r="B676">
        <v>2018</v>
      </c>
      <c r="C676">
        <v>22</v>
      </c>
      <c r="D676" t="s">
        <v>16</v>
      </c>
      <c r="E676" t="s">
        <v>17</v>
      </c>
      <c r="F676">
        <v>8.56</v>
      </c>
      <c r="G676">
        <v>45.67</v>
      </c>
      <c r="H676">
        <v>203.5</v>
      </c>
      <c r="I676">
        <v>223.71</v>
      </c>
      <c r="J676">
        <v>4.9000000000000004</v>
      </c>
      <c r="K676">
        <v>8.99</v>
      </c>
      <c r="L676">
        <v>2.2000000000000002</v>
      </c>
      <c r="M676">
        <v>1</v>
      </c>
      <c r="N676">
        <v>0</v>
      </c>
      <c r="O676" t="s">
        <v>20</v>
      </c>
    </row>
    <row r="677" spans="1:15" x14ac:dyDescent="0.35">
      <c r="A677" t="s">
        <v>15</v>
      </c>
      <c r="B677">
        <v>2018</v>
      </c>
      <c r="C677">
        <v>69</v>
      </c>
      <c r="D677" t="s">
        <v>16</v>
      </c>
      <c r="E677" t="s">
        <v>19</v>
      </c>
      <c r="F677">
        <v>8.15</v>
      </c>
      <c r="G677">
        <v>47.77</v>
      </c>
      <c r="H677">
        <v>175.3</v>
      </c>
      <c r="I677">
        <v>230.37</v>
      </c>
      <c r="J677">
        <v>4.82</v>
      </c>
      <c r="K677">
        <v>9.26</v>
      </c>
      <c r="L677">
        <v>2.2599999999999998</v>
      </c>
      <c r="M677">
        <v>1</v>
      </c>
      <c r="N677">
        <v>0</v>
      </c>
      <c r="O677" t="s">
        <v>20</v>
      </c>
    </row>
    <row r="678" spans="1:15" x14ac:dyDescent="0.35">
      <c r="A678" t="s">
        <v>15</v>
      </c>
      <c r="B678">
        <v>2018</v>
      </c>
      <c r="C678">
        <v>57</v>
      </c>
      <c r="D678" t="s">
        <v>16</v>
      </c>
      <c r="E678" t="s">
        <v>17</v>
      </c>
      <c r="F678">
        <v>7.85</v>
      </c>
      <c r="G678">
        <v>27.17</v>
      </c>
      <c r="H678">
        <v>164.82</v>
      </c>
      <c r="I678">
        <v>234.48</v>
      </c>
      <c r="J678">
        <v>8.6300000000000008</v>
      </c>
      <c r="K678">
        <v>5.54</v>
      </c>
      <c r="L678">
        <v>1.35</v>
      </c>
      <c r="M678">
        <v>1</v>
      </c>
      <c r="N678">
        <v>0</v>
      </c>
      <c r="O678" t="s">
        <v>20</v>
      </c>
    </row>
    <row r="679" spans="1:15" x14ac:dyDescent="0.35">
      <c r="A679" t="s">
        <v>15</v>
      </c>
      <c r="B679">
        <v>2018</v>
      </c>
      <c r="C679">
        <v>56</v>
      </c>
      <c r="D679" t="s">
        <v>16</v>
      </c>
      <c r="E679" t="s">
        <v>17</v>
      </c>
      <c r="F679">
        <v>9.81</v>
      </c>
      <c r="G679">
        <v>36.72</v>
      </c>
      <c r="H679">
        <v>166.17</v>
      </c>
      <c r="I679">
        <v>242.76</v>
      </c>
      <c r="J679">
        <v>6.61</v>
      </c>
      <c r="K679">
        <v>3.73</v>
      </c>
      <c r="L679">
        <v>0.91</v>
      </c>
      <c r="M679">
        <v>1</v>
      </c>
      <c r="N679">
        <v>0</v>
      </c>
      <c r="O679" t="s">
        <v>20</v>
      </c>
    </row>
    <row r="680" spans="1:15" x14ac:dyDescent="0.35">
      <c r="A680" t="s">
        <v>15</v>
      </c>
      <c r="B680">
        <v>2018</v>
      </c>
      <c r="C680">
        <v>26</v>
      </c>
      <c r="D680" t="s">
        <v>16</v>
      </c>
      <c r="E680" t="s">
        <v>17</v>
      </c>
      <c r="F680">
        <v>7.58</v>
      </c>
      <c r="G680">
        <v>30.59</v>
      </c>
      <c r="H680">
        <v>134.47</v>
      </c>
      <c r="I680">
        <v>242.99</v>
      </c>
      <c r="J680">
        <v>7.94</v>
      </c>
      <c r="K680">
        <v>8.6</v>
      </c>
      <c r="L680">
        <v>2.1</v>
      </c>
      <c r="M680">
        <v>1</v>
      </c>
      <c r="N680">
        <v>0</v>
      </c>
      <c r="O680" t="s">
        <v>20</v>
      </c>
    </row>
    <row r="681" spans="1:15" x14ac:dyDescent="0.35">
      <c r="A681" t="s">
        <v>15</v>
      </c>
      <c r="B681">
        <v>2018</v>
      </c>
      <c r="C681">
        <v>35</v>
      </c>
      <c r="D681" t="s">
        <v>16</v>
      </c>
      <c r="E681" t="s">
        <v>17</v>
      </c>
      <c r="F681">
        <v>9.9</v>
      </c>
      <c r="G681">
        <v>52.34</v>
      </c>
      <c r="H681">
        <v>141.56</v>
      </c>
      <c r="I681">
        <v>243.21</v>
      </c>
      <c r="J681">
        <v>4.6500000000000004</v>
      </c>
      <c r="K681">
        <v>3.49</v>
      </c>
      <c r="L681">
        <v>0.85</v>
      </c>
      <c r="M681">
        <v>1</v>
      </c>
      <c r="N681">
        <v>0</v>
      </c>
      <c r="O681" t="s">
        <v>20</v>
      </c>
    </row>
    <row r="682" spans="1:15" x14ac:dyDescent="0.35">
      <c r="A682" t="s">
        <v>15</v>
      </c>
      <c r="B682">
        <v>2018</v>
      </c>
      <c r="C682">
        <v>35</v>
      </c>
      <c r="D682" t="s">
        <v>16</v>
      </c>
      <c r="E682" t="s">
        <v>17</v>
      </c>
      <c r="F682">
        <v>8.69</v>
      </c>
      <c r="G682">
        <v>46.22</v>
      </c>
      <c r="H682">
        <v>98.94</v>
      </c>
      <c r="I682">
        <v>243.45</v>
      </c>
      <c r="J682">
        <v>5.27</v>
      </c>
      <c r="K682">
        <v>4.51</v>
      </c>
      <c r="L682">
        <v>1.1000000000000001</v>
      </c>
      <c r="M682">
        <v>1</v>
      </c>
      <c r="N682">
        <v>0</v>
      </c>
      <c r="O682" t="s">
        <v>20</v>
      </c>
    </row>
    <row r="683" spans="1:15" x14ac:dyDescent="0.35">
      <c r="A683" t="s">
        <v>15</v>
      </c>
      <c r="B683">
        <v>2018</v>
      </c>
      <c r="C683">
        <v>70</v>
      </c>
      <c r="D683" t="s">
        <v>16</v>
      </c>
      <c r="E683" t="s">
        <v>19</v>
      </c>
      <c r="F683">
        <v>6.06</v>
      </c>
      <c r="G683">
        <v>46.42</v>
      </c>
      <c r="H683">
        <v>169.1</v>
      </c>
      <c r="I683">
        <v>247.16</v>
      </c>
      <c r="J683">
        <v>5.32</v>
      </c>
      <c r="K683">
        <v>7.35</v>
      </c>
      <c r="L683">
        <v>1.8</v>
      </c>
      <c r="M683">
        <v>0</v>
      </c>
      <c r="N683">
        <v>0</v>
      </c>
      <c r="O683" t="s">
        <v>20</v>
      </c>
    </row>
    <row r="684" spans="1:15" x14ac:dyDescent="0.35">
      <c r="A684" t="s">
        <v>15</v>
      </c>
      <c r="B684">
        <v>2018</v>
      </c>
      <c r="C684">
        <v>47</v>
      </c>
      <c r="D684" t="s">
        <v>16</v>
      </c>
      <c r="E684" t="s">
        <v>17</v>
      </c>
      <c r="F684">
        <v>7.6</v>
      </c>
      <c r="G684">
        <v>41.75</v>
      </c>
      <c r="H684">
        <v>159.19999999999999</v>
      </c>
      <c r="I684">
        <v>247.17</v>
      </c>
      <c r="J684">
        <v>5.92</v>
      </c>
      <c r="K684">
        <v>10.16</v>
      </c>
      <c r="L684">
        <v>2.48</v>
      </c>
      <c r="M684">
        <v>1</v>
      </c>
      <c r="N684">
        <v>0</v>
      </c>
      <c r="O684" t="s">
        <v>20</v>
      </c>
    </row>
    <row r="685" spans="1:15" x14ac:dyDescent="0.35">
      <c r="A685" t="s">
        <v>15</v>
      </c>
      <c r="B685">
        <v>2018</v>
      </c>
      <c r="C685">
        <v>7</v>
      </c>
      <c r="D685" t="s">
        <v>16</v>
      </c>
      <c r="E685" t="s">
        <v>22</v>
      </c>
      <c r="F685">
        <v>6.79</v>
      </c>
      <c r="G685">
        <v>56.89</v>
      </c>
      <c r="H685">
        <v>137.35</v>
      </c>
      <c r="I685">
        <v>227.3</v>
      </c>
      <c r="J685">
        <v>4</v>
      </c>
      <c r="K685">
        <v>7.01</v>
      </c>
      <c r="L685">
        <v>1.71</v>
      </c>
      <c r="M685">
        <v>1</v>
      </c>
      <c r="N685">
        <v>0</v>
      </c>
      <c r="O685" t="s">
        <v>20</v>
      </c>
    </row>
    <row r="686" spans="1:15" x14ac:dyDescent="0.35">
      <c r="A686" t="s">
        <v>15</v>
      </c>
      <c r="B686">
        <v>2018</v>
      </c>
      <c r="C686">
        <v>7</v>
      </c>
      <c r="D686" t="s">
        <v>16</v>
      </c>
      <c r="E686" t="s">
        <v>22</v>
      </c>
      <c r="F686">
        <v>7.04</v>
      </c>
      <c r="G686">
        <v>55.48</v>
      </c>
      <c r="H686">
        <v>149.93</v>
      </c>
      <c r="I686">
        <v>155.61000000000001</v>
      </c>
      <c r="J686">
        <v>2.8</v>
      </c>
      <c r="K686">
        <v>6.04</v>
      </c>
      <c r="L686">
        <v>1.48</v>
      </c>
      <c r="M686">
        <v>1</v>
      </c>
      <c r="N686">
        <v>0</v>
      </c>
      <c r="O686" t="s">
        <v>18</v>
      </c>
    </row>
    <row r="687" spans="1:15" x14ac:dyDescent="0.35">
      <c r="A687" t="s">
        <v>15</v>
      </c>
      <c r="B687">
        <v>2018</v>
      </c>
      <c r="C687">
        <v>18</v>
      </c>
      <c r="D687" t="s">
        <v>16</v>
      </c>
      <c r="E687" t="s">
        <v>24</v>
      </c>
      <c r="F687">
        <v>7.05</v>
      </c>
      <c r="G687">
        <v>55.81</v>
      </c>
      <c r="H687">
        <v>166.88</v>
      </c>
      <c r="I687">
        <v>246</v>
      </c>
      <c r="J687">
        <v>4.41</v>
      </c>
      <c r="K687">
        <v>7.28</v>
      </c>
      <c r="L687">
        <v>1.78</v>
      </c>
      <c r="M687">
        <v>1</v>
      </c>
      <c r="N687">
        <v>0</v>
      </c>
      <c r="O687" t="s">
        <v>20</v>
      </c>
    </row>
    <row r="688" spans="1:15" x14ac:dyDescent="0.35">
      <c r="A688" t="s">
        <v>15</v>
      </c>
      <c r="B688">
        <v>2018</v>
      </c>
      <c r="C688">
        <v>3</v>
      </c>
      <c r="D688" t="s">
        <v>16</v>
      </c>
      <c r="E688" t="s">
        <v>22</v>
      </c>
      <c r="F688">
        <v>7.85</v>
      </c>
      <c r="G688">
        <v>42.61</v>
      </c>
      <c r="H688">
        <v>185.37</v>
      </c>
      <c r="I688">
        <v>140.71</v>
      </c>
      <c r="J688">
        <v>3.3</v>
      </c>
      <c r="K688">
        <v>8</v>
      </c>
      <c r="L688">
        <v>1.96</v>
      </c>
      <c r="M688">
        <v>1</v>
      </c>
      <c r="N688">
        <v>0</v>
      </c>
      <c r="O688" t="s">
        <v>20</v>
      </c>
    </row>
    <row r="689" spans="1:15" x14ac:dyDescent="0.35">
      <c r="A689" t="s">
        <v>15</v>
      </c>
      <c r="B689">
        <v>2018</v>
      </c>
      <c r="C689">
        <v>56</v>
      </c>
      <c r="D689" t="s">
        <v>16</v>
      </c>
      <c r="E689" t="s">
        <v>17</v>
      </c>
      <c r="F689">
        <v>7.05</v>
      </c>
      <c r="G689">
        <v>38.82</v>
      </c>
      <c r="H689">
        <v>171.53</v>
      </c>
      <c r="I689">
        <v>184.91</v>
      </c>
      <c r="J689">
        <v>4.76</v>
      </c>
      <c r="K689">
        <v>8.77</v>
      </c>
      <c r="L689">
        <v>2.14</v>
      </c>
      <c r="M689">
        <v>1</v>
      </c>
      <c r="N689">
        <v>0</v>
      </c>
      <c r="O689" t="s">
        <v>20</v>
      </c>
    </row>
    <row r="690" spans="1:15" x14ac:dyDescent="0.35">
      <c r="A690" t="s">
        <v>15</v>
      </c>
      <c r="B690">
        <v>2018</v>
      </c>
      <c r="C690">
        <v>84</v>
      </c>
      <c r="D690" t="s">
        <v>16</v>
      </c>
      <c r="E690" t="s">
        <v>19</v>
      </c>
      <c r="F690">
        <v>8.0299999999999994</v>
      </c>
      <c r="G690">
        <v>57.05</v>
      </c>
      <c r="H690">
        <v>148.88999999999999</v>
      </c>
      <c r="I690">
        <v>263.35000000000002</v>
      </c>
      <c r="J690">
        <v>4.62</v>
      </c>
      <c r="K690">
        <v>5.75</v>
      </c>
      <c r="L690">
        <v>1.4</v>
      </c>
      <c r="M690">
        <v>1</v>
      </c>
      <c r="N690">
        <v>0</v>
      </c>
      <c r="O690" t="s">
        <v>20</v>
      </c>
    </row>
    <row r="691" spans="1:15" x14ac:dyDescent="0.35">
      <c r="A691" t="s">
        <v>15</v>
      </c>
      <c r="B691">
        <v>2018</v>
      </c>
      <c r="C691">
        <v>73</v>
      </c>
      <c r="D691" t="s">
        <v>16</v>
      </c>
      <c r="E691" t="s">
        <v>19</v>
      </c>
      <c r="F691">
        <v>8.52</v>
      </c>
      <c r="G691">
        <v>48.29</v>
      </c>
      <c r="H691">
        <v>178.27</v>
      </c>
      <c r="I691">
        <v>177.45</v>
      </c>
      <c r="J691">
        <v>3.67</v>
      </c>
      <c r="K691">
        <v>6.7</v>
      </c>
      <c r="L691">
        <v>1.64</v>
      </c>
      <c r="M691">
        <v>1</v>
      </c>
      <c r="N691">
        <v>0</v>
      </c>
      <c r="O691" t="s">
        <v>20</v>
      </c>
    </row>
    <row r="692" spans="1:15" x14ac:dyDescent="0.35">
      <c r="A692" t="s">
        <v>15</v>
      </c>
      <c r="B692">
        <v>2018</v>
      </c>
      <c r="C692">
        <v>52</v>
      </c>
      <c r="D692" t="s">
        <v>16</v>
      </c>
      <c r="E692" t="s">
        <v>17</v>
      </c>
      <c r="F692">
        <v>9.67</v>
      </c>
      <c r="G692">
        <v>39.409999999999997</v>
      </c>
      <c r="H692">
        <v>184.05</v>
      </c>
      <c r="I692">
        <v>171.33</v>
      </c>
      <c r="J692">
        <v>4.3499999999999996</v>
      </c>
      <c r="K692">
        <v>6.69</v>
      </c>
      <c r="L692">
        <v>1.64</v>
      </c>
      <c r="M692">
        <v>1</v>
      </c>
      <c r="N692">
        <v>0</v>
      </c>
      <c r="O692" t="s">
        <v>20</v>
      </c>
    </row>
    <row r="693" spans="1:15" x14ac:dyDescent="0.35">
      <c r="A693" t="s">
        <v>15</v>
      </c>
      <c r="B693">
        <v>2018</v>
      </c>
      <c r="C693">
        <v>45</v>
      </c>
      <c r="D693" t="s">
        <v>16</v>
      </c>
      <c r="E693" t="s">
        <v>17</v>
      </c>
      <c r="F693">
        <v>7.34</v>
      </c>
      <c r="G693">
        <v>38.520000000000003</v>
      </c>
      <c r="H693">
        <v>184.34</v>
      </c>
      <c r="I693">
        <v>170.69</v>
      </c>
      <c r="J693">
        <v>4.43</v>
      </c>
      <c r="K693">
        <v>3.78</v>
      </c>
      <c r="L693">
        <v>0.92</v>
      </c>
      <c r="M693">
        <v>1</v>
      </c>
      <c r="N693">
        <v>0</v>
      </c>
      <c r="O693" t="s">
        <v>20</v>
      </c>
    </row>
    <row r="694" spans="1:15" x14ac:dyDescent="0.35">
      <c r="A694" t="s">
        <v>15</v>
      </c>
      <c r="B694">
        <v>2018</v>
      </c>
      <c r="C694">
        <v>53</v>
      </c>
      <c r="D694" t="s">
        <v>16</v>
      </c>
      <c r="E694" t="s">
        <v>17</v>
      </c>
      <c r="F694">
        <v>7.96</v>
      </c>
      <c r="G694">
        <v>47.07</v>
      </c>
      <c r="H694">
        <v>144.24</v>
      </c>
      <c r="I694">
        <v>278.49</v>
      </c>
      <c r="J694">
        <v>5.92</v>
      </c>
      <c r="K694">
        <v>8.77</v>
      </c>
      <c r="L694">
        <v>2.14</v>
      </c>
      <c r="M694">
        <v>1</v>
      </c>
      <c r="N694">
        <v>0</v>
      </c>
      <c r="O694" t="s">
        <v>20</v>
      </c>
    </row>
    <row r="695" spans="1:15" x14ac:dyDescent="0.35">
      <c r="A695" t="s">
        <v>15</v>
      </c>
      <c r="B695">
        <v>2018</v>
      </c>
      <c r="C695">
        <v>34</v>
      </c>
      <c r="D695" t="s">
        <v>16</v>
      </c>
      <c r="E695" t="s">
        <v>17</v>
      </c>
      <c r="F695">
        <v>8.4700000000000006</v>
      </c>
      <c r="G695">
        <v>58.01</v>
      </c>
      <c r="H695">
        <v>167</v>
      </c>
      <c r="I695">
        <v>105.24</v>
      </c>
      <c r="J695">
        <v>1.81</v>
      </c>
      <c r="K695">
        <v>1.02</v>
      </c>
      <c r="L695">
        <v>0.25</v>
      </c>
      <c r="M695">
        <v>1</v>
      </c>
      <c r="N695">
        <v>0</v>
      </c>
      <c r="O695" t="s">
        <v>20</v>
      </c>
    </row>
    <row r="696" spans="1:15" x14ac:dyDescent="0.35">
      <c r="A696" t="s">
        <v>15</v>
      </c>
      <c r="B696">
        <v>2018</v>
      </c>
      <c r="C696">
        <v>84</v>
      </c>
      <c r="D696" t="s">
        <v>16</v>
      </c>
      <c r="E696" t="s">
        <v>19</v>
      </c>
      <c r="F696">
        <v>9.86</v>
      </c>
      <c r="G696">
        <v>42.26</v>
      </c>
      <c r="H696">
        <v>139.49</v>
      </c>
      <c r="I696">
        <v>190.25</v>
      </c>
      <c r="J696">
        <v>4.5</v>
      </c>
      <c r="K696">
        <v>12.68</v>
      </c>
      <c r="L696">
        <v>3.1</v>
      </c>
      <c r="M696">
        <v>1</v>
      </c>
      <c r="N696">
        <v>1</v>
      </c>
      <c r="O696" t="s">
        <v>18</v>
      </c>
    </row>
    <row r="697" spans="1:15" x14ac:dyDescent="0.35">
      <c r="A697" t="s">
        <v>15</v>
      </c>
      <c r="B697">
        <v>2018</v>
      </c>
      <c r="C697">
        <v>27</v>
      </c>
      <c r="D697" t="s">
        <v>21</v>
      </c>
      <c r="E697" t="s">
        <v>17</v>
      </c>
      <c r="F697">
        <v>7.47</v>
      </c>
      <c r="G697">
        <v>53.71</v>
      </c>
      <c r="H697">
        <v>192.23</v>
      </c>
      <c r="I697">
        <v>149.38999999999999</v>
      </c>
      <c r="J697">
        <v>2.78</v>
      </c>
      <c r="K697">
        <v>5.97</v>
      </c>
      <c r="L697">
        <v>1.46</v>
      </c>
      <c r="M697">
        <v>1</v>
      </c>
      <c r="N697">
        <v>0</v>
      </c>
      <c r="O697" t="s">
        <v>20</v>
      </c>
    </row>
    <row r="698" spans="1:15" x14ac:dyDescent="0.35">
      <c r="A698" t="s">
        <v>15</v>
      </c>
      <c r="B698">
        <v>2018</v>
      </c>
      <c r="C698">
        <v>54</v>
      </c>
      <c r="D698" t="s">
        <v>21</v>
      </c>
      <c r="E698" t="s">
        <v>17</v>
      </c>
      <c r="F698">
        <v>9.19</v>
      </c>
      <c r="G698">
        <v>55.48</v>
      </c>
      <c r="H698">
        <v>171.28</v>
      </c>
      <c r="I698">
        <v>262.67</v>
      </c>
      <c r="J698">
        <v>4.7300000000000004</v>
      </c>
      <c r="K698">
        <v>5.83</v>
      </c>
      <c r="L698">
        <v>1.43</v>
      </c>
      <c r="M698">
        <v>1</v>
      </c>
      <c r="N698">
        <v>0</v>
      </c>
      <c r="O698" t="s">
        <v>20</v>
      </c>
    </row>
    <row r="699" spans="1:15" x14ac:dyDescent="0.35">
      <c r="A699" t="s">
        <v>15</v>
      </c>
      <c r="B699">
        <v>2018</v>
      </c>
      <c r="C699">
        <v>5</v>
      </c>
      <c r="D699" t="s">
        <v>21</v>
      </c>
      <c r="E699" t="s">
        <v>22</v>
      </c>
      <c r="F699">
        <v>6.83</v>
      </c>
      <c r="G699">
        <v>33.04</v>
      </c>
      <c r="H699">
        <v>188.05</v>
      </c>
      <c r="I699">
        <v>244.39</v>
      </c>
      <c r="J699">
        <v>7.4</v>
      </c>
      <c r="K699">
        <v>5.76</v>
      </c>
      <c r="L699">
        <v>1.41</v>
      </c>
      <c r="M699">
        <v>1</v>
      </c>
      <c r="N699">
        <v>0</v>
      </c>
      <c r="O699" t="s">
        <v>20</v>
      </c>
    </row>
    <row r="700" spans="1:15" x14ac:dyDescent="0.35">
      <c r="A700" t="s">
        <v>15</v>
      </c>
      <c r="B700">
        <v>2018</v>
      </c>
      <c r="C700">
        <v>57</v>
      </c>
      <c r="D700" t="s">
        <v>16</v>
      </c>
      <c r="E700" t="s">
        <v>17</v>
      </c>
      <c r="F700">
        <v>8.5</v>
      </c>
      <c r="G700">
        <v>31.14</v>
      </c>
      <c r="H700">
        <v>178.82</v>
      </c>
      <c r="I700">
        <v>212.63</v>
      </c>
      <c r="J700">
        <v>6.83</v>
      </c>
      <c r="K700">
        <v>13.47</v>
      </c>
      <c r="L700">
        <v>3.29</v>
      </c>
      <c r="M700">
        <v>1</v>
      </c>
      <c r="N700">
        <v>1</v>
      </c>
      <c r="O700" t="s">
        <v>20</v>
      </c>
    </row>
    <row r="701" spans="1:15" x14ac:dyDescent="0.35">
      <c r="A701" t="s">
        <v>15</v>
      </c>
      <c r="B701">
        <v>2018</v>
      </c>
      <c r="C701">
        <v>4</v>
      </c>
      <c r="D701" t="s">
        <v>21</v>
      </c>
      <c r="E701" t="s">
        <v>22</v>
      </c>
      <c r="F701">
        <v>5.41</v>
      </c>
      <c r="G701">
        <v>57.73</v>
      </c>
      <c r="H701">
        <v>161.02000000000001</v>
      </c>
      <c r="I701">
        <v>183.83</v>
      </c>
      <c r="J701">
        <v>3.18</v>
      </c>
      <c r="K701">
        <v>4.0199999999999996</v>
      </c>
      <c r="L701">
        <v>0.98</v>
      </c>
      <c r="M701">
        <v>0</v>
      </c>
      <c r="N701">
        <v>0</v>
      </c>
      <c r="O701" t="s">
        <v>20</v>
      </c>
    </row>
    <row r="702" spans="1:15" x14ac:dyDescent="0.35">
      <c r="A702" t="s">
        <v>15</v>
      </c>
      <c r="B702">
        <v>2019</v>
      </c>
      <c r="C702">
        <v>14</v>
      </c>
      <c r="D702" t="s">
        <v>21</v>
      </c>
      <c r="E702" t="s">
        <v>24</v>
      </c>
      <c r="F702">
        <v>7.02</v>
      </c>
      <c r="G702">
        <v>41.44</v>
      </c>
      <c r="H702">
        <v>160.87</v>
      </c>
      <c r="I702">
        <v>143.99</v>
      </c>
      <c r="J702">
        <v>3.47</v>
      </c>
      <c r="K702">
        <v>11.56</v>
      </c>
      <c r="L702">
        <v>2.83</v>
      </c>
      <c r="M702">
        <v>1</v>
      </c>
      <c r="N702">
        <v>1</v>
      </c>
      <c r="O702" t="s">
        <v>20</v>
      </c>
    </row>
    <row r="703" spans="1:15" x14ac:dyDescent="0.35">
      <c r="A703" t="s">
        <v>15</v>
      </c>
      <c r="B703">
        <v>2019</v>
      </c>
      <c r="C703">
        <v>9</v>
      </c>
      <c r="D703" t="s">
        <v>21</v>
      </c>
      <c r="E703" t="s">
        <v>22</v>
      </c>
      <c r="F703">
        <v>6.05</v>
      </c>
      <c r="G703">
        <v>60</v>
      </c>
      <c r="H703">
        <v>158.74</v>
      </c>
      <c r="I703">
        <v>232.6</v>
      </c>
      <c r="J703">
        <v>3.88</v>
      </c>
      <c r="K703">
        <v>11.67</v>
      </c>
      <c r="L703">
        <v>2.85</v>
      </c>
      <c r="M703">
        <v>0</v>
      </c>
      <c r="N703">
        <v>1</v>
      </c>
      <c r="O703" t="s">
        <v>20</v>
      </c>
    </row>
    <row r="704" spans="1:15" x14ac:dyDescent="0.35">
      <c r="A704" t="s">
        <v>15</v>
      </c>
      <c r="B704">
        <v>2019</v>
      </c>
      <c r="C704">
        <v>52</v>
      </c>
      <c r="D704" t="s">
        <v>21</v>
      </c>
      <c r="E704" t="s">
        <v>17</v>
      </c>
      <c r="F704">
        <v>9.01</v>
      </c>
      <c r="G704">
        <v>49.52</v>
      </c>
      <c r="H704">
        <v>168.97</v>
      </c>
      <c r="I704">
        <v>139.99</v>
      </c>
      <c r="J704">
        <v>2.83</v>
      </c>
      <c r="K704">
        <v>11.68</v>
      </c>
      <c r="L704">
        <v>2.86</v>
      </c>
      <c r="M704">
        <v>1</v>
      </c>
      <c r="N704">
        <v>1</v>
      </c>
      <c r="O704" t="s">
        <v>20</v>
      </c>
    </row>
    <row r="705" spans="1:15" x14ac:dyDescent="0.35">
      <c r="A705" t="s">
        <v>15</v>
      </c>
      <c r="B705">
        <v>2019</v>
      </c>
      <c r="C705">
        <v>20</v>
      </c>
      <c r="D705" t="s">
        <v>21</v>
      </c>
      <c r="E705" t="s">
        <v>17</v>
      </c>
      <c r="F705">
        <v>8.1199999999999992</v>
      </c>
      <c r="G705">
        <v>49.78</v>
      </c>
      <c r="H705">
        <v>113.73</v>
      </c>
      <c r="I705">
        <v>279.24</v>
      </c>
      <c r="J705">
        <v>5.61</v>
      </c>
      <c r="K705">
        <v>12.91</v>
      </c>
      <c r="L705">
        <v>3.15</v>
      </c>
      <c r="M705">
        <v>1</v>
      </c>
      <c r="N705">
        <v>1</v>
      </c>
      <c r="O705" t="s">
        <v>20</v>
      </c>
    </row>
    <row r="706" spans="1:15" x14ac:dyDescent="0.35">
      <c r="A706" t="s">
        <v>15</v>
      </c>
      <c r="B706">
        <v>2019</v>
      </c>
      <c r="C706">
        <v>74</v>
      </c>
      <c r="D706" t="s">
        <v>16</v>
      </c>
      <c r="E706" t="s">
        <v>19</v>
      </c>
      <c r="F706">
        <v>8.07</v>
      </c>
      <c r="G706">
        <v>55.66</v>
      </c>
      <c r="H706">
        <v>234.83</v>
      </c>
      <c r="I706">
        <v>192.21</v>
      </c>
      <c r="J706">
        <v>3.45</v>
      </c>
      <c r="K706">
        <v>10.54</v>
      </c>
      <c r="L706">
        <v>2.58</v>
      </c>
      <c r="M706">
        <v>1</v>
      </c>
      <c r="N706">
        <v>1</v>
      </c>
      <c r="O706" t="s">
        <v>20</v>
      </c>
    </row>
    <row r="707" spans="1:15" x14ac:dyDescent="0.35">
      <c r="A707" t="s">
        <v>15</v>
      </c>
      <c r="B707">
        <v>2019</v>
      </c>
      <c r="C707">
        <v>81</v>
      </c>
      <c r="D707" t="s">
        <v>21</v>
      </c>
      <c r="E707" t="s">
        <v>19</v>
      </c>
      <c r="F707">
        <v>6.88</v>
      </c>
      <c r="G707">
        <v>35.07</v>
      </c>
      <c r="H707">
        <v>126.9</v>
      </c>
      <c r="I707">
        <v>229.37</v>
      </c>
      <c r="J707">
        <v>6.54</v>
      </c>
      <c r="K707">
        <v>15.28</v>
      </c>
      <c r="L707">
        <v>3.74</v>
      </c>
      <c r="M707">
        <v>1</v>
      </c>
      <c r="N707">
        <v>1</v>
      </c>
      <c r="O707" t="s">
        <v>20</v>
      </c>
    </row>
    <row r="708" spans="1:15" x14ac:dyDescent="0.35">
      <c r="A708" t="s">
        <v>15</v>
      </c>
      <c r="B708">
        <v>2019</v>
      </c>
      <c r="C708">
        <v>55</v>
      </c>
      <c r="D708" t="s">
        <v>21</v>
      </c>
      <c r="E708" t="s">
        <v>17</v>
      </c>
      <c r="F708">
        <v>9.19</v>
      </c>
      <c r="G708">
        <v>38.979999999999997</v>
      </c>
      <c r="H708">
        <v>213.6</v>
      </c>
      <c r="I708">
        <v>283.58999999999997</v>
      </c>
      <c r="J708">
        <v>7.27</v>
      </c>
      <c r="K708">
        <v>10.77</v>
      </c>
      <c r="L708">
        <v>2.63</v>
      </c>
      <c r="M708">
        <v>1</v>
      </c>
      <c r="N708">
        <v>1</v>
      </c>
      <c r="O708" t="s">
        <v>20</v>
      </c>
    </row>
    <row r="709" spans="1:15" x14ac:dyDescent="0.35">
      <c r="A709" t="s">
        <v>15</v>
      </c>
      <c r="B709">
        <v>2019</v>
      </c>
      <c r="C709">
        <v>51</v>
      </c>
      <c r="D709" t="s">
        <v>16</v>
      </c>
      <c r="E709" t="s">
        <v>17</v>
      </c>
      <c r="F709">
        <v>7.62</v>
      </c>
      <c r="G709">
        <v>34.36</v>
      </c>
      <c r="H709">
        <v>180.73</v>
      </c>
      <c r="I709">
        <v>238.12</v>
      </c>
      <c r="J709">
        <v>6.93</v>
      </c>
      <c r="K709">
        <v>10.86</v>
      </c>
      <c r="L709">
        <v>2.65</v>
      </c>
      <c r="M709">
        <v>1</v>
      </c>
      <c r="N709">
        <v>1</v>
      </c>
      <c r="O709" t="s">
        <v>20</v>
      </c>
    </row>
    <row r="710" spans="1:15" x14ac:dyDescent="0.35">
      <c r="A710" t="s">
        <v>15</v>
      </c>
      <c r="B710">
        <v>2019</v>
      </c>
      <c r="C710">
        <v>46</v>
      </c>
      <c r="D710" t="s">
        <v>21</v>
      </c>
      <c r="E710" t="s">
        <v>17</v>
      </c>
      <c r="F710">
        <v>8.4600000000000009</v>
      </c>
      <c r="G710">
        <v>54.19</v>
      </c>
      <c r="H710">
        <v>109.69</v>
      </c>
      <c r="I710">
        <v>215.82</v>
      </c>
      <c r="J710">
        <v>3.98</v>
      </c>
      <c r="K710">
        <v>10.31</v>
      </c>
      <c r="L710">
        <v>2.52</v>
      </c>
      <c r="M710">
        <v>1</v>
      </c>
      <c r="N710">
        <v>1</v>
      </c>
      <c r="O710" t="s">
        <v>20</v>
      </c>
    </row>
    <row r="711" spans="1:15" x14ac:dyDescent="0.35">
      <c r="A711" t="s">
        <v>15</v>
      </c>
      <c r="B711">
        <v>2019</v>
      </c>
      <c r="C711">
        <v>14</v>
      </c>
      <c r="D711" t="s">
        <v>21</v>
      </c>
      <c r="E711" t="s">
        <v>24</v>
      </c>
      <c r="F711">
        <v>7.14</v>
      </c>
      <c r="G711">
        <v>67.39</v>
      </c>
      <c r="H711">
        <v>183.06</v>
      </c>
      <c r="I711">
        <v>171.49</v>
      </c>
      <c r="J711">
        <v>2.54</v>
      </c>
      <c r="K711">
        <v>9.15</v>
      </c>
      <c r="L711">
        <v>2.2400000000000002</v>
      </c>
      <c r="M711">
        <v>1</v>
      </c>
      <c r="N711">
        <v>0</v>
      </c>
      <c r="O711" t="s">
        <v>20</v>
      </c>
    </row>
    <row r="712" spans="1:15" x14ac:dyDescent="0.35">
      <c r="A712" t="s">
        <v>15</v>
      </c>
      <c r="B712">
        <v>2019</v>
      </c>
      <c r="C712">
        <v>84</v>
      </c>
      <c r="D712" t="s">
        <v>16</v>
      </c>
      <c r="E712" t="s">
        <v>19</v>
      </c>
      <c r="F712">
        <v>8.98</v>
      </c>
      <c r="G712">
        <v>48.65</v>
      </c>
      <c r="H712">
        <v>133.13999999999999</v>
      </c>
      <c r="I712">
        <v>209.28</v>
      </c>
      <c r="J712">
        <v>4.3</v>
      </c>
      <c r="K712">
        <v>11.45</v>
      </c>
      <c r="L712">
        <v>2.8</v>
      </c>
      <c r="M712">
        <v>1</v>
      </c>
      <c r="N712">
        <v>1</v>
      </c>
      <c r="O712" t="s">
        <v>20</v>
      </c>
    </row>
    <row r="713" spans="1:15" x14ac:dyDescent="0.35">
      <c r="A713" t="s">
        <v>15</v>
      </c>
      <c r="B713">
        <v>2019</v>
      </c>
      <c r="C713">
        <v>58</v>
      </c>
      <c r="D713" t="s">
        <v>16</v>
      </c>
      <c r="E713" t="s">
        <v>17</v>
      </c>
      <c r="F713">
        <v>8.81</v>
      </c>
      <c r="G713">
        <v>48.13</v>
      </c>
      <c r="H713">
        <v>178.61</v>
      </c>
      <c r="I713">
        <v>235.63</v>
      </c>
      <c r="J713">
        <v>4.9000000000000004</v>
      </c>
      <c r="K713">
        <v>11.44</v>
      </c>
      <c r="L713">
        <v>2.8</v>
      </c>
      <c r="M713">
        <v>1</v>
      </c>
      <c r="N713">
        <v>1</v>
      </c>
      <c r="O713" t="s">
        <v>20</v>
      </c>
    </row>
    <row r="714" spans="1:15" x14ac:dyDescent="0.35">
      <c r="A714" t="s">
        <v>15</v>
      </c>
      <c r="B714">
        <v>2019</v>
      </c>
      <c r="C714">
        <v>50</v>
      </c>
      <c r="D714" t="s">
        <v>21</v>
      </c>
      <c r="E714" t="s">
        <v>17</v>
      </c>
      <c r="F714">
        <v>6.87</v>
      </c>
      <c r="G714">
        <v>38.68</v>
      </c>
      <c r="H714">
        <v>209.87</v>
      </c>
      <c r="I714">
        <v>224.01</v>
      </c>
      <c r="J714">
        <v>5.79</v>
      </c>
      <c r="K714">
        <v>8.4700000000000006</v>
      </c>
      <c r="L714">
        <v>2.0699999999999998</v>
      </c>
      <c r="M714">
        <v>1</v>
      </c>
      <c r="N714">
        <v>0</v>
      </c>
      <c r="O714" t="s">
        <v>20</v>
      </c>
    </row>
    <row r="715" spans="1:15" x14ac:dyDescent="0.35">
      <c r="A715" t="s">
        <v>15</v>
      </c>
      <c r="B715">
        <v>2019</v>
      </c>
      <c r="C715">
        <v>30</v>
      </c>
      <c r="D715" t="s">
        <v>21</v>
      </c>
      <c r="E715" t="s">
        <v>17</v>
      </c>
      <c r="F715">
        <v>7.03</v>
      </c>
      <c r="G715">
        <v>58.49</v>
      </c>
      <c r="H715">
        <v>162.93</v>
      </c>
      <c r="I715">
        <v>205.7</v>
      </c>
      <c r="J715">
        <v>3.52</v>
      </c>
      <c r="K715">
        <v>8.1999999999999993</v>
      </c>
      <c r="L715">
        <v>2</v>
      </c>
      <c r="M715">
        <v>1</v>
      </c>
      <c r="N715">
        <v>0</v>
      </c>
      <c r="O715" t="s">
        <v>20</v>
      </c>
    </row>
    <row r="716" spans="1:15" x14ac:dyDescent="0.35">
      <c r="A716" t="s">
        <v>15</v>
      </c>
      <c r="B716">
        <v>2019</v>
      </c>
      <c r="C716">
        <v>13</v>
      </c>
      <c r="D716" t="s">
        <v>21</v>
      </c>
      <c r="E716" t="s">
        <v>24</v>
      </c>
      <c r="F716">
        <v>5.97</v>
      </c>
      <c r="G716">
        <v>44.56</v>
      </c>
      <c r="H716">
        <v>107.59</v>
      </c>
      <c r="I716">
        <v>145.09</v>
      </c>
      <c r="J716">
        <v>3.26</v>
      </c>
      <c r="K716">
        <v>8.15</v>
      </c>
      <c r="L716">
        <v>1.99</v>
      </c>
      <c r="M716">
        <v>0</v>
      </c>
      <c r="N716">
        <v>0</v>
      </c>
      <c r="O716" t="s">
        <v>23</v>
      </c>
    </row>
    <row r="717" spans="1:15" x14ac:dyDescent="0.35">
      <c r="A717" t="s">
        <v>15</v>
      </c>
      <c r="B717">
        <v>2019</v>
      </c>
      <c r="C717">
        <v>6</v>
      </c>
      <c r="D717" t="s">
        <v>21</v>
      </c>
      <c r="E717" t="s">
        <v>22</v>
      </c>
      <c r="F717">
        <v>5.76</v>
      </c>
      <c r="G717">
        <v>42.57</v>
      </c>
      <c r="H717">
        <v>122.39</v>
      </c>
      <c r="I717">
        <v>199.29</v>
      </c>
      <c r="J717">
        <v>4.68</v>
      </c>
      <c r="K717">
        <v>7.88</v>
      </c>
      <c r="L717">
        <v>1.93</v>
      </c>
      <c r="M717">
        <v>0</v>
      </c>
      <c r="N717">
        <v>0</v>
      </c>
      <c r="O717" t="s">
        <v>23</v>
      </c>
    </row>
    <row r="718" spans="1:15" x14ac:dyDescent="0.35">
      <c r="A718" t="s">
        <v>15</v>
      </c>
      <c r="B718">
        <v>2019</v>
      </c>
      <c r="C718">
        <v>19</v>
      </c>
      <c r="D718" t="s">
        <v>21</v>
      </c>
      <c r="E718" t="s">
        <v>24</v>
      </c>
      <c r="F718">
        <v>8.09</v>
      </c>
      <c r="G718">
        <v>45.1</v>
      </c>
      <c r="H718">
        <v>183.18</v>
      </c>
      <c r="I718">
        <v>122.31</v>
      </c>
      <c r="J718">
        <v>2.71</v>
      </c>
      <c r="K718">
        <v>7.85</v>
      </c>
      <c r="L718">
        <v>1.92</v>
      </c>
      <c r="M718">
        <v>1</v>
      </c>
      <c r="N718">
        <v>0</v>
      </c>
      <c r="O718" t="s">
        <v>20</v>
      </c>
    </row>
    <row r="719" spans="1:15" x14ac:dyDescent="0.35">
      <c r="A719" t="s">
        <v>15</v>
      </c>
      <c r="B719">
        <v>2019</v>
      </c>
      <c r="C719">
        <v>37</v>
      </c>
      <c r="D719" t="s">
        <v>16</v>
      </c>
      <c r="E719" t="s">
        <v>17</v>
      </c>
      <c r="F719">
        <v>7.16</v>
      </c>
      <c r="G719">
        <v>27.04</v>
      </c>
      <c r="H719">
        <v>178.71</v>
      </c>
      <c r="I719">
        <v>133.79</v>
      </c>
      <c r="J719">
        <v>4.95</v>
      </c>
      <c r="K719">
        <v>11.73</v>
      </c>
      <c r="L719">
        <v>2.87</v>
      </c>
      <c r="M719">
        <v>1</v>
      </c>
      <c r="N719">
        <v>1</v>
      </c>
      <c r="O719" t="s">
        <v>20</v>
      </c>
    </row>
    <row r="720" spans="1:15" x14ac:dyDescent="0.35">
      <c r="A720" t="s">
        <v>15</v>
      </c>
      <c r="B720">
        <v>2019</v>
      </c>
      <c r="C720">
        <v>76</v>
      </c>
      <c r="D720" t="s">
        <v>21</v>
      </c>
      <c r="E720" t="s">
        <v>19</v>
      </c>
      <c r="F720">
        <v>9.1300000000000008</v>
      </c>
      <c r="G720">
        <v>42.07</v>
      </c>
      <c r="H720">
        <v>124</v>
      </c>
      <c r="I720">
        <v>176.61</v>
      </c>
      <c r="J720">
        <v>4.2</v>
      </c>
      <c r="K720">
        <v>7.52</v>
      </c>
      <c r="L720">
        <v>1.84</v>
      </c>
      <c r="M720">
        <v>1</v>
      </c>
      <c r="N720">
        <v>0</v>
      </c>
      <c r="O720" t="s">
        <v>23</v>
      </c>
    </row>
    <row r="721" spans="1:15" x14ac:dyDescent="0.35">
      <c r="A721" t="s">
        <v>15</v>
      </c>
      <c r="B721">
        <v>2019</v>
      </c>
      <c r="C721">
        <v>74</v>
      </c>
      <c r="D721" t="s">
        <v>21</v>
      </c>
      <c r="E721" t="s">
        <v>19</v>
      </c>
      <c r="F721">
        <v>8.81</v>
      </c>
      <c r="G721">
        <v>58.79</v>
      </c>
      <c r="H721">
        <v>168.39</v>
      </c>
      <c r="I721">
        <v>272.20999999999998</v>
      </c>
      <c r="J721">
        <v>4.63</v>
      </c>
      <c r="K721">
        <v>7.44</v>
      </c>
      <c r="L721">
        <v>1.82</v>
      </c>
      <c r="M721">
        <v>1</v>
      </c>
      <c r="N721">
        <v>0</v>
      </c>
      <c r="O721" t="s">
        <v>20</v>
      </c>
    </row>
    <row r="722" spans="1:15" x14ac:dyDescent="0.35">
      <c r="A722" t="s">
        <v>15</v>
      </c>
      <c r="B722">
        <v>2019</v>
      </c>
      <c r="C722">
        <v>81</v>
      </c>
      <c r="D722" t="s">
        <v>21</v>
      </c>
      <c r="E722" t="s">
        <v>19</v>
      </c>
      <c r="F722">
        <v>8.69</v>
      </c>
      <c r="G722">
        <v>51.26</v>
      </c>
      <c r="H722">
        <v>133.61000000000001</v>
      </c>
      <c r="I722">
        <v>155.03</v>
      </c>
      <c r="J722">
        <v>3.02</v>
      </c>
      <c r="K722">
        <v>6.95</v>
      </c>
      <c r="L722">
        <v>1.7</v>
      </c>
      <c r="M722">
        <v>1</v>
      </c>
      <c r="N722">
        <v>0</v>
      </c>
      <c r="O722" t="s">
        <v>18</v>
      </c>
    </row>
    <row r="723" spans="1:15" x14ac:dyDescent="0.35">
      <c r="A723" t="s">
        <v>15</v>
      </c>
      <c r="B723">
        <v>2019</v>
      </c>
      <c r="C723">
        <v>42</v>
      </c>
      <c r="D723" t="s">
        <v>21</v>
      </c>
      <c r="E723" t="s">
        <v>17</v>
      </c>
      <c r="F723">
        <v>9.15</v>
      </c>
      <c r="G723">
        <v>64.92</v>
      </c>
      <c r="H723">
        <v>124.15</v>
      </c>
      <c r="I723">
        <v>227.93</v>
      </c>
      <c r="J723">
        <v>3.51</v>
      </c>
      <c r="K723">
        <v>6.76</v>
      </c>
      <c r="L723">
        <v>1.65</v>
      </c>
      <c r="M723">
        <v>1</v>
      </c>
      <c r="N723">
        <v>0</v>
      </c>
      <c r="O723" t="s">
        <v>20</v>
      </c>
    </row>
    <row r="724" spans="1:15" x14ac:dyDescent="0.35">
      <c r="A724" t="s">
        <v>15</v>
      </c>
      <c r="B724">
        <v>2019</v>
      </c>
      <c r="C724">
        <v>34</v>
      </c>
      <c r="D724" t="s">
        <v>16</v>
      </c>
      <c r="E724" t="s">
        <v>17</v>
      </c>
      <c r="F724">
        <v>6.76</v>
      </c>
      <c r="G724">
        <v>45.67</v>
      </c>
      <c r="H724">
        <v>142.69</v>
      </c>
      <c r="I724">
        <v>191.77</v>
      </c>
      <c r="J724">
        <v>4.2</v>
      </c>
      <c r="K724">
        <v>12.64</v>
      </c>
      <c r="L724">
        <v>3.09</v>
      </c>
      <c r="M724">
        <v>1</v>
      </c>
      <c r="N724">
        <v>1</v>
      </c>
      <c r="O724" t="s">
        <v>18</v>
      </c>
    </row>
    <row r="725" spans="1:15" x14ac:dyDescent="0.35">
      <c r="A725" t="s">
        <v>15</v>
      </c>
      <c r="B725">
        <v>2019</v>
      </c>
      <c r="C725">
        <v>9</v>
      </c>
      <c r="D725" t="s">
        <v>16</v>
      </c>
      <c r="E725" t="s">
        <v>22</v>
      </c>
      <c r="F725">
        <v>8.6999999999999993</v>
      </c>
      <c r="G725">
        <v>57.12</v>
      </c>
      <c r="H725">
        <v>197.19</v>
      </c>
      <c r="I725">
        <v>143.99</v>
      </c>
      <c r="J725">
        <v>2.52</v>
      </c>
      <c r="K725">
        <v>6.63</v>
      </c>
      <c r="L725">
        <v>1.62</v>
      </c>
      <c r="M725">
        <v>1</v>
      </c>
      <c r="N725">
        <v>0</v>
      </c>
      <c r="O725" t="s">
        <v>20</v>
      </c>
    </row>
    <row r="726" spans="1:15" x14ac:dyDescent="0.35">
      <c r="A726" t="s">
        <v>15</v>
      </c>
      <c r="B726">
        <v>2019</v>
      </c>
      <c r="C726">
        <v>29</v>
      </c>
      <c r="D726" t="s">
        <v>21</v>
      </c>
      <c r="E726" t="s">
        <v>17</v>
      </c>
      <c r="F726">
        <v>8.82</v>
      </c>
      <c r="G726">
        <v>36.92</v>
      </c>
      <c r="H726">
        <v>143.69</v>
      </c>
      <c r="I726">
        <v>290.72000000000003</v>
      </c>
      <c r="J726">
        <v>7.87</v>
      </c>
      <c r="K726">
        <v>6.04</v>
      </c>
      <c r="L726">
        <v>1.48</v>
      </c>
      <c r="M726">
        <v>1</v>
      </c>
      <c r="N726">
        <v>0</v>
      </c>
      <c r="O726" t="s">
        <v>20</v>
      </c>
    </row>
    <row r="727" spans="1:15" x14ac:dyDescent="0.35">
      <c r="A727" t="s">
        <v>15</v>
      </c>
      <c r="B727">
        <v>2019</v>
      </c>
      <c r="C727">
        <v>77</v>
      </c>
      <c r="D727" t="s">
        <v>16</v>
      </c>
      <c r="E727" t="s">
        <v>19</v>
      </c>
      <c r="F727">
        <v>8.82</v>
      </c>
      <c r="G727">
        <v>49.22</v>
      </c>
      <c r="H727">
        <v>125.93</v>
      </c>
      <c r="I727">
        <v>196.85</v>
      </c>
      <c r="J727">
        <v>4</v>
      </c>
      <c r="K727">
        <v>8.7799999999999994</v>
      </c>
      <c r="L727">
        <v>2.15</v>
      </c>
      <c r="M727">
        <v>1</v>
      </c>
      <c r="N727">
        <v>0</v>
      </c>
      <c r="O727" t="s">
        <v>23</v>
      </c>
    </row>
    <row r="728" spans="1:15" x14ac:dyDescent="0.35">
      <c r="A728" t="s">
        <v>15</v>
      </c>
      <c r="B728">
        <v>2019</v>
      </c>
      <c r="C728">
        <v>34</v>
      </c>
      <c r="D728" t="s">
        <v>16</v>
      </c>
      <c r="E728" t="s">
        <v>17</v>
      </c>
      <c r="F728">
        <v>7.88</v>
      </c>
      <c r="G728">
        <v>39.549999999999997</v>
      </c>
      <c r="H728">
        <v>155.51</v>
      </c>
      <c r="I728">
        <v>145.19999999999999</v>
      </c>
      <c r="J728">
        <v>3.67</v>
      </c>
      <c r="K728">
        <v>5.09</v>
      </c>
      <c r="L728">
        <v>1.24</v>
      </c>
      <c r="M728">
        <v>1</v>
      </c>
      <c r="N728">
        <v>0</v>
      </c>
      <c r="O728" t="s">
        <v>18</v>
      </c>
    </row>
    <row r="729" spans="1:15" x14ac:dyDescent="0.35">
      <c r="A729" t="s">
        <v>15</v>
      </c>
      <c r="B729">
        <v>2019</v>
      </c>
      <c r="C729">
        <v>43</v>
      </c>
      <c r="D729" t="s">
        <v>16</v>
      </c>
      <c r="E729" t="s">
        <v>17</v>
      </c>
      <c r="F729">
        <v>7.81</v>
      </c>
      <c r="G729">
        <v>54.42</v>
      </c>
      <c r="H729">
        <v>190.76</v>
      </c>
      <c r="I729">
        <v>212.45</v>
      </c>
      <c r="J729">
        <v>3.9</v>
      </c>
      <c r="K729">
        <v>7.38</v>
      </c>
      <c r="L729">
        <v>1.8</v>
      </c>
      <c r="M729">
        <v>1</v>
      </c>
      <c r="N729">
        <v>0</v>
      </c>
      <c r="O729" t="s">
        <v>20</v>
      </c>
    </row>
    <row r="730" spans="1:15" x14ac:dyDescent="0.35">
      <c r="A730" t="s">
        <v>15</v>
      </c>
      <c r="B730">
        <v>2019</v>
      </c>
      <c r="C730">
        <v>43</v>
      </c>
      <c r="D730" t="s">
        <v>16</v>
      </c>
      <c r="E730" t="s">
        <v>17</v>
      </c>
      <c r="F730">
        <v>8.0299999999999994</v>
      </c>
      <c r="G730">
        <v>68.040000000000006</v>
      </c>
      <c r="H730">
        <v>162.52000000000001</v>
      </c>
      <c r="I730">
        <v>212.94</v>
      </c>
      <c r="J730">
        <v>3.13</v>
      </c>
      <c r="K730">
        <v>6.93</v>
      </c>
      <c r="L730">
        <v>1.69</v>
      </c>
      <c r="M730">
        <v>1</v>
      </c>
      <c r="N730">
        <v>0</v>
      </c>
      <c r="O730" t="s">
        <v>20</v>
      </c>
    </row>
    <row r="731" spans="1:15" x14ac:dyDescent="0.35">
      <c r="A731" t="s">
        <v>15</v>
      </c>
      <c r="B731">
        <v>2019</v>
      </c>
      <c r="C731">
        <v>80</v>
      </c>
      <c r="D731" t="s">
        <v>16</v>
      </c>
      <c r="E731" t="s">
        <v>19</v>
      </c>
      <c r="F731">
        <v>8.5</v>
      </c>
      <c r="G731">
        <v>57.25</v>
      </c>
      <c r="H731">
        <v>158.07</v>
      </c>
      <c r="I731">
        <v>229.04</v>
      </c>
      <c r="J731">
        <v>4</v>
      </c>
      <c r="K731">
        <v>6.78</v>
      </c>
      <c r="L731">
        <v>1.66</v>
      </c>
      <c r="M731">
        <v>1</v>
      </c>
      <c r="N731">
        <v>0</v>
      </c>
      <c r="O731" t="s">
        <v>20</v>
      </c>
    </row>
    <row r="732" spans="1:15" x14ac:dyDescent="0.35">
      <c r="A732" t="s">
        <v>15</v>
      </c>
      <c r="B732">
        <v>2019</v>
      </c>
      <c r="C732">
        <v>64</v>
      </c>
      <c r="D732" t="s">
        <v>16</v>
      </c>
      <c r="E732" t="s">
        <v>19</v>
      </c>
      <c r="F732">
        <v>8.9</v>
      </c>
      <c r="G732">
        <v>26.69</v>
      </c>
      <c r="H732">
        <v>152.85</v>
      </c>
      <c r="I732">
        <v>161.07</v>
      </c>
      <c r="J732">
        <v>6.04</v>
      </c>
      <c r="K732">
        <v>8.3000000000000007</v>
      </c>
      <c r="L732">
        <v>2.0299999999999998</v>
      </c>
      <c r="M732">
        <v>1</v>
      </c>
      <c r="N732">
        <v>0</v>
      </c>
      <c r="O732" t="s">
        <v>18</v>
      </c>
    </row>
    <row r="733" spans="1:15" x14ac:dyDescent="0.35">
      <c r="A733" t="s">
        <v>15</v>
      </c>
      <c r="B733">
        <v>2019</v>
      </c>
      <c r="C733">
        <v>40</v>
      </c>
      <c r="D733" t="s">
        <v>16</v>
      </c>
      <c r="E733" t="s">
        <v>17</v>
      </c>
      <c r="F733">
        <v>7.66</v>
      </c>
      <c r="G733">
        <v>61.45</v>
      </c>
      <c r="H733">
        <v>166.86</v>
      </c>
      <c r="I733">
        <v>235.59</v>
      </c>
      <c r="J733">
        <v>3.83</v>
      </c>
      <c r="K733">
        <v>5.46</v>
      </c>
      <c r="L733">
        <v>1.33</v>
      </c>
      <c r="M733">
        <v>1</v>
      </c>
      <c r="N733">
        <v>0</v>
      </c>
      <c r="O733" t="s">
        <v>20</v>
      </c>
    </row>
    <row r="734" spans="1:15" x14ac:dyDescent="0.35">
      <c r="A734" t="s">
        <v>15</v>
      </c>
      <c r="B734">
        <v>2019</v>
      </c>
      <c r="C734">
        <v>77</v>
      </c>
      <c r="D734" t="s">
        <v>16</v>
      </c>
      <c r="E734" t="s">
        <v>19</v>
      </c>
      <c r="F734">
        <v>9.4499999999999993</v>
      </c>
      <c r="G734">
        <v>24.95</v>
      </c>
      <c r="H734">
        <v>156.58000000000001</v>
      </c>
      <c r="I734">
        <v>151.94</v>
      </c>
      <c r="J734">
        <v>6.09</v>
      </c>
      <c r="K734">
        <v>6.93</v>
      </c>
      <c r="L734">
        <v>1.7</v>
      </c>
      <c r="M734">
        <v>1</v>
      </c>
      <c r="N734">
        <v>0</v>
      </c>
      <c r="O734" t="s">
        <v>18</v>
      </c>
    </row>
    <row r="735" spans="1:15" x14ac:dyDescent="0.35">
      <c r="A735" t="s">
        <v>15</v>
      </c>
      <c r="B735">
        <v>2019</v>
      </c>
      <c r="C735">
        <v>57</v>
      </c>
      <c r="D735" t="s">
        <v>16</v>
      </c>
      <c r="E735" t="s">
        <v>17</v>
      </c>
      <c r="F735">
        <v>9.5299999999999994</v>
      </c>
      <c r="G735">
        <v>50.09</v>
      </c>
      <c r="H735">
        <v>157.65</v>
      </c>
      <c r="I735">
        <v>155.54</v>
      </c>
      <c r="J735">
        <v>3.11</v>
      </c>
      <c r="K735">
        <v>8.7200000000000006</v>
      </c>
      <c r="L735">
        <v>2.13</v>
      </c>
      <c r="M735">
        <v>1</v>
      </c>
      <c r="N735">
        <v>0</v>
      </c>
      <c r="O735" t="s">
        <v>18</v>
      </c>
    </row>
    <row r="736" spans="1:15" x14ac:dyDescent="0.35">
      <c r="A736" t="s">
        <v>15</v>
      </c>
      <c r="B736">
        <v>2019</v>
      </c>
      <c r="C736">
        <v>69</v>
      </c>
      <c r="D736" t="s">
        <v>16</v>
      </c>
      <c r="E736" t="s">
        <v>19</v>
      </c>
      <c r="F736">
        <v>8.73</v>
      </c>
      <c r="G736">
        <v>36.32</v>
      </c>
      <c r="H736">
        <v>192.04</v>
      </c>
      <c r="I736">
        <v>236.94</v>
      </c>
      <c r="J736">
        <v>6.52</v>
      </c>
      <c r="K736">
        <v>8.01</v>
      </c>
      <c r="L736">
        <v>1.96</v>
      </c>
      <c r="M736">
        <v>1</v>
      </c>
      <c r="N736">
        <v>0</v>
      </c>
      <c r="O736" t="s">
        <v>20</v>
      </c>
    </row>
    <row r="737" spans="1:15" x14ac:dyDescent="0.35">
      <c r="A737" t="s">
        <v>15</v>
      </c>
      <c r="B737">
        <v>2019</v>
      </c>
      <c r="C737">
        <v>50</v>
      </c>
      <c r="D737" t="s">
        <v>16</v>
      </c>
      <c r="E737" t="s">
        <v>17</v>
      </c>
      <c r="F737">
        <v>6.77</v>
      </c>
      <c r="G737">
        <v>44.71</v>
      </c>
      <c r="H737">
        <v>159.78</v>
      </c>
      <c r="I737">
        <v>184.65</v>
      </c>
      <c r="J737">
        <v>4.13</v>
      </c>
      <c r="K737">
        <v>4.45</v>
      </c>
      <c r="L737">
        <v>1.0900000000000001</v>
      </c>
      <c r="M737">
        <v>1</v>
      </c>
      <c r="N737">
        <v>0</v>
      </c>
      <c r="O737" t="s">
        <v>18</v>
      </c>
    </row>
    <row r="738" spans="1:15" x14ac:dyDescent="0.35">
      <c r="A738" t="s">
        <v>15</v>
      </c>
      <c r="B738">
        <v>2019</v>
      </c>
      <c r="C738">
        <v>15</v>
      </c>
      <c r="D738" t="s">
        <v>16</v>
      </c>
      <c r="E738" t="s">
        <v>24</v>
      </c>
      <c r="F738">
        <v>6.3</v>
      </c>
      <c r="G738">
        <v>57.53</v>
      </c>
      <c r="H738">
        <v>125.31</v>
      </c>
      <c r="I738">
        <v>192.54</v>
      </c>
      <c r="J738">
        <v>3.35</v>
      </c>
      <c r="K738">
        <v>1.28</v>
      </c>
      <c r="L738">
        <v>0.31</v>
      </c>
      <c r="M738">
        <v>0</v>
      </c>
      <c r="N738">
        <v>0</v>
      </c>
      <c r="O738" t="s">
        <v>23</v>
      </c>
    </row>
    <row r="739" spans="1:15" x14ac:dyDescent="0.35">
      <c r="A739" t="s">
        <v>15</v>
      </c>
      <c r="B739">
        <v>2019</v>
      </c>
      <c r="C739">
        <v>11</v>
      </c>
      <c r="D739" t="s">
        <v>16</v>
      </c>
      <c r="E739" t="s">
        <v>22</v>
      </c>
      <c r="F739">
        <v>6.47</v>
      </c>
      <c r="G739">
        <v>36.28</v>
      </c>
      <c r="H739">
        <v>163.87</v>
      </c>
      <c r="I739">
        <v>162.31</v>
      </c>
      <c r="J739">
        <v>4.47</v>
      </c>
      <c r="K739">
        <v>4.57</v>
      </c>
      <c r="L739">
        <v>1.1200000000000001</v>
      </c>
      <c r="M739">
        <v>0</v>
      </c>
      <c r="N739">
        <v>0</v>
      </c>
      <c r="O739" t="s">
        <v>20</v>
      </c>
    </row>
    <row r="740" spans="1:15" x14ac:dyDescent="0.35">
      <c r="A740" t="s">
        <v>15</v>
      </c>
      <c r="B740">
        <v>2019</v>
      </c>
      <c r="C740">
        <v>75</v>
      </c>
      <c r="D740" t="s">
        <v>16</v>
      </c>
      <c r="E740" t="s">
        <v>19</v>
      </c>
      <c r="F740">
        <v>7.75</v>
      </c>
      <c r="G740">
        <v>40.61</v>
      </c>
      <c r="H740">
        <v>183.61</v>
      </c>
      <c r="I740">
        <v>193.21</v>
      </c>
      <c r="J740">
        <v>4.76</v>
      </c>
      <c r="K740">
        <v>2.2799999999999998</v>
      </c>
      <c r="L740">
        <v>0.56000000000000005</v>
      </c>
      <c r="M740">
        <v>1</v>
      </c>
      <c r="N740">
        <v>0</v>
      </c>
      <c r="O740" t="s">
        <v>20</v>
      </c>
    </row>
    <row r="741" spans="1:15" x14ac:dyDescent="0.35">
      <c r="A741" t="s">
        <v>15</v>
      </c>
      <c r="B741">
        <v>2019</v>
      </c>
      <c r="C741">
        <v>57</v>
      </c>
      <c r="D741" t="s">
        <v>16</v>
      </c>
      <c r="E741" t="s">
        <v>17</v>
      </c>
      <c r="F741">
        <v>7.6</v>
      </c>
      <c r="G741">
        <v>52.65</v>
      </c>
      <c r="H741">
        <v>143.22999999999999</v>
      </c>
      <c r="I741">
        <v>303.38</v>
      </c>
      <c r="J741">
        <v>5.76</v>
      </c>
      <c r="K741">
        <v>2.99</v>
      </c>
      <c r="L741">
        <v>0.73</v>
      </c>
      <c r="M741">
        <v>1</v>
      </c>
      <c r="N741">
        <v>0</v>
      </c>
      <c r="O741" t="s">
        <v>20</v>
      </c>
    </row>
    <row r="742" spans="1:15" x14ac:dyDescent="0.35">
      <c r="A742" t="s">
        <v>15</v>
      </c>
      <c r="B742">
        <v>2019</v>
      </c>
      <c r="C742">
        <v>73</v>
      </c>
      <c r="D742" t="s">
        <v>16</v>
      </c>
      <c r="E742" t="s">
        <v>19</v>
      </c>
      <c r="F742">
        <v>7.42</v>
      </c>
      <c r="G742">
        <v>54.51</v>
      </c>
      <c r="H742">
        <v>214.04</v>
      </c>
      <c r="I742">
        <v>199.56</v>
      </c>
      <c r="J742">
        <v>3.66</v>
      </c>
      <c r="K742">
        <v>7.24</v>
      </c>
      <c r="L742">
        <v>1.77</v>
      </c>
      <c r="M742">
        <v>1</v>
      </c>
      <c r="N742">
        <v>0</v>
      </c>
      <c r="O742" t="s">
        <v>20</v>
      </c>
    </row>
    <row r="743" spans="1:15" x14ac:dyDescent="0.35">
      <c r="A743" t="s">
        <v>15</v>
      </c>
      <c r="B743">
        <v>2019</v>
      </c>
      <c r="C743">
        <v>17</v>
      </c>
      <c r="D743" t="s">
        <v>21</v>
      </c>
      <c r="E743" t="s">
        <v>24</v>
      </c>
      <c r="F743">
        <v>5.94</v>
      </c>
      <c r="G743">
        <v>46.15</v>
      </c>
      <c r="H743">
        <v>157.25</v>
      </c>
      <c r="I743">
        <v>187.91</v>
      </c>
      <c r="J743">
        <v>4.07</v>
      </c>
      <c r="K743">
        <v>5.41</v>
      </c>
      <c r="L743">
        <v>1.32</v>
      </c>
      <c r="M743">
        <v>0</v>
      </c>
      <c r="N743">
        <v>0</v>
      </c>
      <c r="O743" t="s">
        <v>18</v>
      </c>
    </row>
    <row r="744" spans="1:15" x14ac:dyDescent="0.35">
      <c r="A744" t="s">
        <v>15</v>
      </c>
      <c r="B744">
        <v>2019</v>
      </c>
      <c r="C744">
        <v>56</v>
      </c>
      <c r="D744" t="s">
        <v>21</v>
      </c>
      <c r="E744" t="s">
        <v>17</v>
      </c>
      <c r="F744">
        <v>8</v>
      </c>
      <c r="G744">
        <v>36.76</v>
      </c>
      <c r="H744">
        <v>153.80000000000001</v>
      </c>
      <c r="I744">
        <v>201.68</v>
      </c>
      <c r="J744">
        <v>5.49</v>
      </c>
      <c r="K744">
        <v>5.35</v>
      </c>
      <c r="L744">
        <v>1.31</v>
      </c>
      <c r="M744">
        <v>1</v>
      </c>
      <c r="N744">
        <v>0</v>
      </c>
      <c r="O744" t="s">
        <v>20</v>
      </c>
    </row>
    <row r="745" spans="1:15" x14ac:dyDescent="0.35">
      <c r="A745" t="s">
        <v>15</v>
      </c>
      <c r="B745">
        <v>2019</v>
      </c>
      <c r="C745">
        <v>9</v>
      </c>
      <c r="D745" t="s">
        <v>21</v>
      </c>
      <c r="E745" t="s">
        <v>22</v>
      </c>
      <c r="F745">
        <v>7.02</v>
      </c>
      <c r="G745">
        <v>69.319999999999993</v>
      </c>
      <c r="H745">
        <v>123.89</v>
      </c>
      <c r="I745">
        <v>163.80000000000001</v>
      </c>
      <c r="J745">
        <v>2.36</v>
      </c>
      <c r="K745">
        <v>5.14</v>
      </c>
      <c r="L745">
        <v>1.26</v>
      </c>
      <c r="M745">
        <v>1</v>
      </c>
      <c r="N745">
        <v>0</v>
      </c>
      <c r="O745" t="s">
        <v>23</v>
      </c>
    </row>
    <row r="746" spans="1:15" x14ac:dyDescent="0.35">
      <c r="A746" t="s">
        <v>15</v>
      </c>
      <c r="B746">
        <v>2019</v>
      </c>
      <c r="C746">
        <v>15</v>
      </c>
      <c r="D746" t="s">
        <v>21</v>
      </c>
      <c r="E746" t="s">
        <v>24</v>
      </c>
      <c r="F746">
        <v>6.47</v>
      </c>
      <c r="G746">
        <v>65.86</v>
      </c>
      <c r="H746">
        <v>138.94999999999999</v>
      </c>
      <c r="I746">
        <v>142.58000000000001</v>
      </c>
      <c r="J746">
        <v>2.16</v>
      </c>
      <c r="K746">
        <v>5.05</v>
      </c>
      <c r="L746">
        <v>1.23</v>
      </c>
      <c r="M746">
        <v>0</v>
      </c>
      <c r="N746">
        <v>0</v>
      </c>
      <c r="O746" t="s">
        <v>18</v>
      </c>
    </row>
    <row r="747" spans="1:15" x14ac:dyDescent="0.35">
      <c r="A747" t="s">
        <v>15</v>
      </c>
      <c r="B747">
        <v>2019</v>
      </c>
      <c r="C747">
        <v>36</v>
      </c>
      <c r="D747" t="s">
        <v>16</v>
      </c>
      <c r="E747" t="s">
        <v>17</v>
      </c>
      <c r="F747">
        <v>6.3</v>
      </c>
      <c r="G747">
        <v>31.49</v>
      </c>
      <c r="H747">
        <v>149.18</v>
      </c>
      <c r="I747">
        <v>250.73</v>
      </c>
      <c r="J747">
        <v>7.96</v>
      </c>
      <c r="K747">
        <v>13.89</v>
      </c>
      <c r="L747">
        <v>3.39</v>
      </c>
      <c r="M747">
        <v>0</v>
      </c>
      <c r="N747">
        <v>1</v>
      </c>
      <c r="O747" t="s">
        <v>20</v>
      </c>
    </row>
    <row r="748" spans="1:15" x14ac:dyDescent="0.35">
      <c r="A748" t="s">
        <v>15</v>
      </c>
      <c r="B748">
        <v>2019</v>
      </c>
      <c r="C748">
        <v>64</v>
      </c>
      <c r="D748" t="s">
        <v>21</v>
      </c>
      <c r="E748" t="s">
        <v>19</v>
      </c>
      <c r="F748">
        <v>8.67</v>
      </c>
      <c r="G748">
        <v>37.28</v>
      </c>
      <c r="H748">
        <v>148.30000000000001</v>
      </c>
      <c r="I748">
        <v>187.85</v>
      </c>
      <c r="J748">
        <v>5.04</v>
      </c>
      <c r="K748">
        <v>4.7699999999999996</v>
      </c>
      <c r="L748">
        <v>1.17</v>
      </c>
      <c r="M748">
        <v>1</v>
      </c>
      <c r="N748">
        <v>0</v>
      </c>
      <c r="O748" t="s">
        <v>18</v>
      </c>
    </row>
    <row r="749" spans="1:15" x14ac:dyDescent="0.35">
      <c r="A749" t="s">
        <v>15</v>
      </c>
      <c r="B749">
        <v>2019</v>
      </c>
      <c r="C749">
        <v>7</v>
      </c>
      <c r="D749" t="s">
        <v>21</v>
      </c>
      <c r="E749" t="s">
        <v>22</v>
      </c>
      <c r="F749">
        <v>5.81</v>
      </c>
      <c r="G749">
        <v>53</v>
      </c>
      <c r="H749">
        <v>167.89</v>
      </c>
      <c r="I749">
        <v>288.42</v>
      </c>
      <c r="J749">
        <v>5.44</v>
      </c>
      <c r="K749">
        <v>4.0599999999999996</v>
      </c>
      <c r="L749">
        <v>0.99</v>
      </c>
      <c r="M749">
        <v>0</v>
      </c>
      <c r="N749">
        <v>0</v>
      </c>
      <c r="O749" t="s">
        <v>20</v>
      </c>
    </row>
    <row r="750" spans="1:15" x14ac:dyDescent="0.35">
      <c r="A750" t="s">
        <v>15</v>
      </c>
      <c r="B750">
        <v>2019</v>
      </c>
      <c r="C750">
        <v>52</v>
      </c>
      <c r="D750" t="s">
        <v>16</v>
      </c>
      <c r="E750" t="s">
        <v>17</v>
      </c>
      <c r="F750">
        <v>6.84</v>
      </c>
      <c r="G750">
        <v>38.630000000000003</v>
      </c>
      <c r="H750">
        <v>111.27</v>
      </c>
      <c r="I750">
        <v>160.47999999999999</v>
      </c>
      <c r="J750">
        <v>4.1500000000000004</v>
      </c>
      <c r="K750">
        <v>15.44</v>
      </c>
      <c r="L750">
        <v>3.77</v>
      </c>
      <c r="M750">
        <v>1</v>
      </c>
      <c r="N750">
        <v>1</v>
      </c>
      <c r="O750" t="s">
        <v>23</v>
      </c>
    </row>
    <row r="751" spans="1:15" x14ac:dyDescent="0.35">
      <c r="A751" t="s">
        <v>15</v>
      </c>
      <c r="B751">
        <v>2019</v>
      </c>
      <c r="C751">
        <v>58</v>
      </c>
      <c r="D751" t="s">
        <v>21</v>
      </c>
      <c r="E751" t="s">
        <v>17</v>
      </c>
      <c r="F751">
        <v>8.98</v>
      </c>
      <c r="G751">
        <v>41.9</v>
      </c>
      <c r="H751">
        <v>182.49</v>
      </c>
      <c r="I751">
        <v>96.29</v>
      </c>
      <c r="J751">
        <v>2.2999999999999998</v>
      </c>
      <c r="K751">
        <v>2.63</v>
      </c>
      <c r="L751">
        <v>0.64</v>
      </c>
      <c r="M751">
        <v>1</v>
      </c>
      <c r="N751">
        <v>0</v>
      </c>
      <c r="O751" t="s">
        <v>20</v>
      </c>
    </row>
    <row r="752" spans="1:15" x14ac:dyDescent="0.35">
      <c r="A752" t="s">
        <v>15</v>
      </c>
      <c r="B752">
        <v>2020</v>
      </c>
      <c r="C752">
        <v>48</v>
      </c>
      <c r="D752" t="s">
        <v>21</v>
      </c>
      <c r="E752" t="s">
        <v>17</v>
      </c>
      <c r="F752">
        <v>8.18</v>
      </c>
      <c r="G752">
        <v>34.299999999999997</v>
      </c>
      <c r="H752">
        <v>118.8</v>
      </c>
      <c r="I752">
        <v>147.05000000000001</v>
      </c>
      <c r="J752">
        <v>4.29</v>
      </c>
      <c r="K752">
        <v>11.21</v>
      </c>
      <c r="L752">
        <v>2.74</v>
      </c>
      <c r="M752">
        <v>1</v>
      </c>
      <c r="N752">
        <v>1</v>
      </c>
      <c r="O752" t="s">
        <v>23</v>
      </c>
    </row>
    <row r="753" spans="1:15" x14ac:dyDescent="0.35">
      <c r="A753" t="s">
        <v>15</v>
      </c>
      <c r="B753">
        <v>2020</v>
      </c>
      <c r="C753">
        <v>14</v>
      </c>
      <c r="D753" t="s">
        <v>21</v>
      </c>
      <c r="E753" t="s">
        <v>24</v>
      </c>
      <c r="F753">
        <v>7.12</v>
      </c>
      <c r="G753">
        <v>53.7</v>
      </c>
      <c r="H753">
        <v>121.48</v>
      </c>
      <c r="I753">
        <v>244.17</v>
      </c>
      <c r="J753">
        <v>4.55</v>
      </c>
      <c r="K753">
        <v>11.27</v>
      </c>
      <c r="L753">
        <v>2.75</v>
      </c>
      <c r="M753">
        <v>1</v>
      </c>
      <c r="N753">
        <v>1</v>
      </c>
      <c r="O753" t="s">
        <v>20</v>
      </c>
    </row>
    <row r="754" spans="1:15" x14ac:dyDescent="0.35">
      <c r="A754" t="s">
        <v>15</v>
      </c>
      <c r="B754">
        <v>2020</v>
      </c>
      <c r="C754">
        <v>5</v>
      </c>
      <c r="D754" t="s">
        <v>21</v>
      </c>
      <c r="E754" t="s">
        <v>22</v>
      </c>
      <c r="F754">
        <v>7.33</v>
      </c>
      <c r="G754">
        <v>33.01</v>
      </c>
      <c r="H754">
        <v>117.02</v>
      </c>
      <c r="I754">
        <v>146.46</v>
      </c>
      <c r="J754">
        <v>4.4400000000000004</v>
      </c>
      <c r="K754">
        <v>11.37</v>
      </c>
      <c r="L754">
        <v>2.78</v>
      </c>
      <c r="M754">
        <v>1</v>
      </c>
      <c r="N754">
        <v>1</v>
      </c>
      <c r="O754" t="s">
        <v>23</v>
      </c>
    </row>
    <row r="755" spans="1:15" x14ac:dyDescent="0.35">
      <c r="A755" t="s">
        <v>15</v>
      </c>
      <c r="B755">
        <v>2020</v>
      </c>
      <c r="C755">
        <v>26</v>
      </c>
      <c r="D755" t="s">
        <v>21</v>
      </c>
      <c r="E755" t="s">
        <v>17</v>
      </c>
      <c r="F755">
        <v>6.94</v>
      </c>
      <c r="G755">
        <v>46.2</v>
      </c>
      <c r="H755">
        <v>126.04</v>
      </c>
      <c r="I755">
        <v>173.64</v>
      </c>
      <c r="J755">
        <v>3.76</v>
      </c>
      <c r="K755">
        <v>11.41</v>
      </c>
      <c r="L755">
        <v>2.79</v>
      </c>
      <c r="M755">
        <v>1</v>
      </c>
      <c r="N755">
        <v>1</v>
      </c>
      <c r="O755" t="s">
        <v>23</v>
      </c>
    </row>
    <row r="756" spans="1:15" x14ac:dyDescent="0.35">
      <c r="A756" t="s">
        <v>15</v>
      </c>
      <c r="B756">
        <v>2020</v>
      </c>
      <c r="C756">
        <v>67</v>
      </c>
      <c r="D756" t="s">
        <v>21</v>
      </c>
      <c r="E756" t="s">
        <v>19</v>
      </c>
      <c r="F756">
        <v>9.08</v>
      </c>
      <c r="G756">
        <v>19.09</v>
      </c>
      <c r="H756">
        <v>150.47999999999999</v>
      </c>
      <c r="I756">
        <v>140.96</v>
      </c>
      <c r="J756">
        <v>7.38</v>
      </c>
      <c r="K756">
        <v>12.64</v>
      </c>
      <c r="L756">
        <v>3.09</v>
      </c>
      <c r="M756">
        <v>1</v>
      </c>
      <c r="N756">
        <v>1</v>
      </c>
      <c r="O756" t="s">
        <v>18</v>
      </c>
    </row>
    <row r="757" spans="1:15" x14ac:dyDescent="0.35">
      <c r="A757" t="s">
        <v>15</v>
      </c>
      <c r="B757">
        <v>2020</v>
      </c>
      <c r="C757">
        <v>47</v>
      </c>
      <c r="D757" t="s">
        <v>21</v>
      </c>
      <c r="E757" t="s">
        <v>17</v>
      </c>
      <c r="F757">
        <v>8.91</v>
      </c>
      <c r="G757">
        <v>41.54</v>
      </c>
      <c r="H757">
        <v>159.69999999999999</v>
      </c>
      <c r="I757">
        <v>357.57</v>
      </c>
      <c r="J757">
        <v>8.61</v>
      </c>
      <c r="K757">
        <v>12.9</v>
      </c>
      <c r="L757">
        <v>3.15</v>
      </c>
      <c r="M757">
        <v>1</v>
      </c>
      <c r="N757">
        <v>1</v>
      </c>
      <c r="O757" t="s">
        <v>20</v>
      </c>
    </row>
    <row r="758" spans="1:15" x14ac:dyDescent="0.35">
      <c r="A758" t="s">
        <v>15</v>
      </c>
      <c r="B758">
        <v>2020</v>
      </c>
      <c r="C758">
        <v>12</v>
      </c>
      <c r="D758" t="s">
        <v>16</v>
      </c>
      <c r="E758" t="s">
        <v>22</v>
      </c>
      <c r="F758">
        <v>6.62</v>
      </c>
      <c r="G758">
        <v>43.44</v>
      </c>
      <c r="H758">
        <v>93.07</v>
      </c>
      <c r="I758">
        <v>124.8</v>
      </c>
      <c r="J758">
        <v>2.87</v>
      </c>
      <c r="K758">
        <v>10.65</v>
      </c>
      <c r="L758">
        <v>2.6</v>
      </c>
      <c r="M758">
        <v>1</v>
      </c>
      <c r="N758">
        <v>1</v>
      </c>
      <c r="O758" t="s">
        <v>23</v>
      </c>
    </row>
    <row r="759" spans="1:15" x14ac:dyDescent="0.35">
      <c r="A759" t="s">
        <v>15</v>
      </c>
      <c r="B759">
        <v>2020</v>
      </c>
      <c r="C759">
        <v>6</v>
      </c>
      <c r="D759" t="s">
        <v>21</v>
      </c>
      <c r="E759" t="s">
        <v>22</v>
      </c>
      <c r="F759">
        <v>7.53</v>
      </c>
      <c r="G759">
        <v>47.18</v>
      </c>
      <c r="H759">
        <v>162.41999999999999</v>
      </c>
      <c r="I759">
        <v>247.4</v>
      </c>
      <c r="J759">
        <v>5.24</v>
      </c>
      <c r="K759">
        <v>10.98</v>
      </c>
      <c r="L759">
        <v>2.68</v>
      </c>
      <c r="M759">
        <v>1</v>
      </c>
      <c r="N759">
        <v>1</v>
      </c>
      <c r="O759" t="s">
        <v>20</v>
      </c>
    </row>
    <row r="760" spans="1:15" x14ac:dyDescent="0.35">
      <c r="A760" t="s">
        <v>15</v>
      </c>
      <c r="B760">
        <v>2020</v>
      </c>
      <c r="C760">
        <v>39</v>
      </c>
      <c r="D760" t="s">
        <v>21</v>
      </c>
      <c r="E760" t="s">
        <v>17</v>
      </c>
      <c r="F760">
        <v>8.35</v>
      </c>
      <c r="G760">
        <v>21.6</v>
      </c>
      <c r="H760">
        <v>108.4</v>
      </c>
      <c r="I760">
        <v>215.79</v>
      </c>
      <c r="J760">
        <v>9.99</v>
      </c>
      <c r="K760">
        <v>10.64</v>
      </c>
      <c r="L760">
        <v>2.6</v>
      </c>
      <c r="M760">
        <v>1</v>
      </c>
      <c r="N760">
        <v>1</v>
      </c>
      <c r="O760" t="s">
        <v>20</v>
      </c>
    </row>
    <row r="761" spans="1:15" x14ac:dyDescent="0.35">
      <c r="A761" t="s">
        <v>15</v>
      </c>
      <c r="B761">
        <v>2020</v>
      </c>
      <c r="C761">
        <v>75</v>
      </c>
      <c r="D761" t="s">
        <v>16</v>
      </c>
      <c r="E761" t="s">
        <v>19</v>
      </c>
      <c r="F761">
        <v>5.63</v>
      </c>
      <c r="G761">
        <v>69.069999999999993</v>
      </c>
      <c r="H761">
        <v>173.48</v>
      </c>
      <c r="I761">
        <v>175.31</v>
      </c>
      <c r="J761">
        <v>2.54</v>
      </c>
      <c r="K761">
        <v>10.87</v>
      </c>
      <c r="L761">
        <v>2.66</v>
      </c>
      <c r="M761">
        <v>0</v>
      </c>
      <c r="N761">
        <v>1</v>
      </c>
      <c r="O761" t="s">
        <v>20</v>
      </c>
    </row>
    <row r="762" spans="1:15" x14ac:dyDescent="0.35">
      <c r="A762" t="s">
        <v>15</v>
      </c>
      <c r="B762">
        <v>2020</v>
      </c>
      <c r="C762">
        <v>38</v>
      </c>
      <c r="D762" t="s">
        <v>16</v>
      </c>
      <c r="E762" t="s">
        <v>17</v>
      </c>
      <c r="F762">
        <v>6.58</v>
      </c>
      <c r="G762">
        <v>40.26</v>
      </c>
      <c r="H762">
        <v>164.67</v>
      </c>
      <c r="I762">
        <v>164.2</v>
      </c>
      <c r="J762">
        <v>4.08</v>
      </c>
      <c r="K762">
        <v>10.94</v>
      </c>
      <c r="L762">
        <v>2.67</v>
      </c>
      <c r="M762">
        <v>1</v>
      </c>
      <c r="N762">
        <v>1</v>
      </c>
      <c r="O762" t="s">
        <v>20</v>
      </c>
    </row>
    <row r="763" spans="1:15" x14ac:dyDescent="0.35">
      <c r="A763" t="s">
        <v>15</v>
      </c>
      <c r="B763">
        <v>2020</v>
      </c>
      <c r="C763">
        <v>56</v>
      </c>
      <c r="D763" t="s">
        <v>21</v>
      </c>
      <c r="E763" t="s">
        <v>17</v>
      </c>
      <c r="F763">
        <v>9.92</v>
      </c>
      <c r="G763">
        <v>69.38</v>
      </c>
      <c r="H763">
        <v>225</v>
      </c>
      <c r="I763">
        <v>197.37</v>
      </c>
      <c r="J763">
        <v>2.84</v>
      </c>
      <c r="K763">
        <v>10.14</v>
      </c>
      <c r="L763">
        <v>2.48</v>
      </c>
      <c r="M763">
        <v>1</v>
      </c>
      <c r="N763">
        <v>0</v>
      </c>
      <c r="O763" t="s">
        <v>20</v>
      </c>
    </row>
    <row r="764" spans="1:15" x14ac:dyDescent="0.35">
      <c r="A764" t="s">
        <v>15</v>
      </c>
      <c r="B764">
        <v>2020</v>
      </c>
      <c r="C764">
        <v>24</v>
      </c>
      <c r="D764" t="s">
        <v>21</v>
      </c>
      <c r="E764" t="s">
        <v>17</v>
      </c>
      <c r="F764">
        <v>7.02</v>
      </c>
      <c r="G764">
        <v>56.4</v>
      </c>
      <c r="H764">
        <v>181.6</v>
      </c>
      <c r="I764">
        <v>148.76</v>
      </c>
      <c r="J764">
        <v>2.64</v>
      </c>
      <c r="K764">
        <v>9.76</v>
      </c>
      <c r="L764">
        <v>2.39</v>
      </c>
      <c r="M764">
        <v>1</v>
      </c>
      <c r="N764">
        <v>0</v>
      </c>
      <c r="O764" t="s">
        <v>20</v>
      </c>
    </row>
    <row r="765" spans="1:15" x14ac:dyDescent="0.35">
      <c r="A765" t="s">
        <v>15</v>
      </c>
      <c r="B765">
        <v>2020</v>
      </c>
      <c r="C765">
        <v>56</v>
      </c>
      <c r="D765" t="s">
        <v>21</v>
      </c>
      <c r="E765" t="s">
        <v>17</v>
      </c>
      <c r="F765">
        <v>9.02</v>
      </c>
      <c r="G765">
        <v>47.03</v>
      </c>
      <c r="H765">
        <v>172.53</v>
      </c>
      <c r="I765">
        <v>172.59</v>
      </c>
      <c r="J765">
        <v>3.67</v>
      </c>
      <c r="K765">
        <v>9.67</v>
      </c>
      <c r="L765">
        <v>2.36</v>
      </c>
      <c r="M765">
        <v>1</v>
      </c>
      <c r="N765">
        <v>0</v>
      </c>
      <c r="O765" t="s">
        <v>20</v>
      </c>
    </row>
    <row r="766" spans="1:15" x14ac:dyDescent="0.35">
      <c r="A766" t="s">
        <v>15</v>
      </c>
      <c r="B766">
        <v>2020</v>
      </c>
      <c r="C766">
        <v>13</v>
      </c>
      <c r="D766" t="s">
        <v>21</v>
      </c>
      <c r="E766" t="s">
        <v>24</v>
      </c>
      <c r="F766">
        <v>8.09</v>
      </c>
      <c r="G766">
        <v>40.909999999999997</v>
      </c>
      <c r="H766">
        <v>161.97</v>
      </c>
      <c r="I766">
        <v>155.94</v>
      </c>
      <c r="J766">
        <v>3.81</v>
      </c>
      <c r="K766">
        <v>9.15</v>
      </c>
      <c r="L766">
        <v>2.2400000000000002</v>
      </c>
      <c r="M766">
        <v>1</v>
      </c>
      <c r="N766">
        <v>0</v>
      </c>
      <c r="O766" t="s">
        <v>20</v>
      </c>
    </row>
    <row r="767" spans="1:15" x14ac:dyDescent="0.35">
      <c r="A767" t="s">
        <v>15</v>
      </c>
      <c r="B767">
        <v>2020</v>
      </c>
      <c r="C767">
        <v>15</v>
      </c>
      <c r="D767" t="s">
        <v>21</v>
      </c>
      <c r="E767" t="s">
        <v>24</v>
      </c>
      <c r="F767">
        <v>7.88</v>
      </c>
      <c r="G767">
        <v>46</v>
      </c>
      <c r="H767">
        <v>133.13</v>
      </c>
      <c r="I767">
        <v>195.69</v>
      </c>
      <c r="J767">
        <v>4.25</v>
      </c>
      <c r="K767">
        <v>8.1999999999999993</v>
      </c>
      <c r="L767">
        <v>2</v>
      </c>
      <c r="M767">
        <v>1</v>
      </c>
      <c r="N767">
        <v>0</v>
      </c>
      <c r="O767" t="s">
        <v>18</v>
      </c>
    </row>
    <row r="768" spans="1:15" x14ac:dyDescent="0.35">
      <c r="A768" t="s">
        <v>15</v>
      </c>
      <c r="B768">
        <v>2020</v>
      </c>
      <c r="C768">
        <v>46</v>
      </c>
      <c r="D768" t="s">
        <v>21</v>
      </c>
      <c r="E768" t="s">
        <v>17</v>
      </c>
      <c r="F768">
        <v>7.79</v>
      </c>
      <c r="G768">
        <v>41.77</v>
      </c>
      <c r="H768">
        <v>110.69</v>
      </c>
      <c r="I768">
        <v>162.1</v>
      </c>
      <c r="J768">
        <v>3.88</v>
      </c>
      <c r="K768">
        <v>8.14</v>
      </c>
      <c r="L768">
        <v>1.99</v>
      </c>
      <c r="M768">
        <v>1</v>
      </c>
      <c r="N768">
        <v>0</v>
      </c>
      <c r="O768" t="s">
        <v>23</v>
      </c>
    </row>
    <row r="769" spans="1:15" x14ac:dyDescent="0.35">
      <c r="A769" t="s">
        <v>15</v>
      </c>
      <c r="B769">
        <v>2020</v>
      </c>
      <c r="C769">
        <v>49</v>
      </c>
      <c r="D769" t="s">
        <v>16</v>
      </c>
      <c r="E769" t="s">
        <v>17</v>
      </c>
      <c r="F769">
        <v>6.86</v>
      </c>
      <c r="G769">
        <v>61.65</v>
      </c>
      <c r="H769">
        <v>152.04</v>
      </c>
      <c r="I769">
        <v>135.05000000000001</v>
      </c>
      <c r="J769">
        <v>2.19</v>
      </c>
      <c r="K769">
        <v>11.88</v>
      </c>
      <c r="L769">
        <v>2.9</v>
      </c>
      <c r="M769">
        <v>1</v>
      </c>
      <c r="N769">
        <v>1</v>
      </c>
      <c r="O769" t="s">
        <v>18</v>
      </c>
    </row>
    <row r="770" spans="1:15" x14ac:dyDescent="0.35">
      <c r="A770" t="s">
        <v>15</v>
      </c>
      <c r="B770">
        <v>2020</v>
      </c>
      <c r="C770">
        <v>57</v>
      </c>
      <c r="D770" t="s">
        <v>21</v>
      </c>
      <c r="E770" t="s">
        <v>17</v>
      </c>
      <c r="F770">
        <v>9.1</v>
      </c>
      <c r="G770">
        <v>37.840000000000003</v>
      </c>
      <c r="H770">
        <v>166.65</v>
      </c>
      <c r="I770">
        <v>195.64</v>
      </c>
      <c r="J770">
        <v>5.17</v>
      </c>
      <c r="K770">
        <v>7.52</v>
      </c>
      <c r="L770">
        <v>1.84</v>
      </c>
      <c r="M770">
        <v>1</v>
      </c>
      <c r="N770">
        <v>0</v>
      </c>
      <c r="O770" t="s">
        <v>20</v>
      </c>
    </row>
    <row r="771" spans="1:15" x14ac:dyDescent="0.35">
      <c r="A771" t="s">
        <v>15</v>
      </c>
      <c r="B771">
        <v>2020</v>
      </c>
      <c r="C771">
        <v>65</v>
      </c>
      <c r="D771" t="s">
        <v>21</v>
      </c>
      <c r="E771" t="s">
        <v>19</v>
      </c>
      <c r="F771">
        <v>8.0399999999999991</v>
      </c>
      <c r="G771">
        <v>46.57</v>
      </c>
      <c r="H771">
        <v>143.59</v>
      </c>
      <c r="I771">
        <v>228.26</v>
      </c>
      <c r="J771">
        <v>4.9000000000000004</v>
      </c>
      <c r="K771">
        <v>7.1</v>
      </c>
      <c r="L771">
        <v>1.74</v>
      </c>
      <c r="M771">
        <v>1</v>
      </c>
      <c r="N771">
        <v>0</v>
      </c>
      <c r="O771" t="s">
        <v>20</v>
      </c>
    </row>
    <row r="772" spans="1:15" x14ac:dyDescent="0.35">
      <c r="A772" t="s">
        <v>15</v>
      </c>
      <c r="B772">
        <v>2020</v>
      </c>
      <c r="C772">
        <v>5</v>
      </c>
      <c r="D772" t="s">
        <v>21</v>
      </c>
      <c r="E772" t="s">
        <v>22</v>
      </c>
      <c r="F772">
        <v>7.19</v>
      </c>
      <c r="G772">
        <v>46.77</v>
      </c>
      <c r="H772">
        <v>164.5</v>
      </c>
      <c r="I772">
        <v>163.41</v>
      </c>
      <c r="J772">
        <v>3.49</v>
      </c>
      <c r="K772">
        <v>6.6</v>
      </c>
      <c r="L772">
        <v>1.61</v>
      </c>
      <c r="M772">
        <v>1</v>
      </c>
      <c r="N772">
        <v>0</v>
      </c>
      <c r="O772" t="s">
        <v>20</v>
      </c>
    </row>
    <row r="773" spans="1:15" x14ac:dyDescent="0.35">
      <c r="A773" t="s">
        <v>15</v>
      </c>
      <c r="B773">
        <v>2020</v>
      </c>
      <c r="C773">
        <v>66</v>
      </c>
      <c r="D773" t="s">
        <v>21</v>
      </c>
      <c r="E773" t="s">
        <v>19</v>
      </c>
      <c r="F773">
        <v>8.73</v>
      </c>
      <c r="G773">
        <v>34.619999999999997</v>
      </c>
      <c r="H773">
        <v>173.68</v>
      </c>
      <c r="I773">
        <v>166.79</v>
      </c>
      <c r="J773">
        <v>4.82</v>
      </c>
      <c r="K773">
        <v>6.36</v>
      </c>
      <c r="L773">
        <v>1.55</v>
      </c>
      <c r="M773">
        <v>1</v>
      </c>
      <c r="N773">
        <v>0</v>
      </c>
      <c r="O773" t="s">
        <v>20</v>
      </c>
    </row>
    <row r="774" spans="1:15" x14ac:dyDescent="0.35">
      <c r="A774" t="s">
        <v>15</v>
      </c>
      <c r="B774">
        <v>2020</v>
      </c>
      <c r="C774">
        <v>3</v>
      </c>
      <c r="D774" t="s">
        <v>21</v>
      </c>
      <c r="E774" t="s">
        <v>22</v>
      </c>
      <c r="F774">
        <v>6.63</v>
      </c>
      <c r="G774">
        <v>55.15</v>
      </c>
      <c r="H774">
        <v>121.45</v>
      </c>
      <c r="I774">
        <v>155.63999999999999</v>
      </c>
      <c r="J774">
        <v>2.82</v>
      </c>
      <c r="K774">
        <v>6.31</v>
      </c>
      <c r="L774">
        <v>1.54</v>
      </c>
      <c r="M774">
        <v>1</v>
      </c>
      <c r="N774">
        <v>0</v>
      </c>
      <c r="O774" t="s">
        <v>23</v>
      </c>
    </row>
    <row r="775" spans="1:15" x14ac:dyDescent="0.35">
      <c r="A775" t="s">
        <v>15</v>
      </c>
      <c r="B775">
        <v>2020</v>
      </c>
      <c r="C775">
        <v>2</v>
      </c>
      <c r="D775" t="s">
        <v>21</v>
      </c>
      <c r="E775" t="s">
        <v>22</v>
      </c>
      <c r="F775">
        <v>6.23</v>
      </c>
      <c r="G775">
        <v>36.31</v>
      </c>
      <c r="H775">
        <v>155.91999999999999</v>
      </c>
      <c r="I775">
        <v>284.33</v>
      </c>
      <c r="J775">
        <v>7.83</v>
      </c>
      <c r="K775">
        <v>6.2</v>
      </c>
      <c r="L775">
        <v>1.51</v>
      </c>
      <c r="M775">
        <v>0</v>
      </c>
      <c r="N775">
        <v>0</v>
      </c>
      <c r="O775" t="s">
        <v>20</v>
      </c>
    </row>
    <row r="776" spans="1:15" x14ac:dyDescent="0.35">
      <c r="A776" t="s">
        <v>15</v>
      </c>
      <c r="B776">
        <v>2020</v>
      </c>
      <c r="C776">
        <v>17</v>
      </c>
      <c r="D776" t="s">
        <v>21</v>
      </c>
      <c r="E776" t="s">
        <v>24</v>
      </c>
      <c r="F776">
        <v>6.97</v>
      </c>
      <c r="G776">
        <v>63.02</v>
      </c>
      <c r="H776">
        <v>160.59</v>
      </c>
      <c r="I776">
        <v>200.6</v>
      </c>
      <c r="J776">
        <v>3.18</v>
      </c>
      <c r="K776">
        <v>5.98</v>
      </c>
      <c r="L776">
        <v>1.46</v>
      </c>
      <c r="M776">
        <v>1</v>
      </c>
      <c r="N776">
        <v>0</v>
      </c>
      <c r="O776" t="s">
        <v>20</v>
      </c>
    </row>
    <row r="777" spans="1:15" x14ac:dyDescent="0.35">
      <c r="A777" t="s">
        <v>15</v>
      </c>
      <c r="B777">
        <v>2020</v>
      </c>
      <c r="C777">
        <v>48</v>
      </c>
      <c r="D777" t="s">
        <v>21</v>
      </c>
      <c r="E777" t="s">
        <v>17</v>
      </c>
      <c r="F777">
        <v>8.8800000000000008</v>
      </c>
      <c r="G777">
        <v>46.1</v>
      </c>
      <c r="H777">
        <v>108.58</v>
      </c>
      <c r="I777">
        <v>263.79000000000002</v>
      </c>
      <c r="J777">
        <v>5.72</v>
      </c>
      <c r="K777">
        <v>5.74</v>
      </c>
      <c r="L777">
        <v>1.4</v>
      </c>
      <c r="M777">
        <v>1</v>
      </c>
      <c r="N777">
        <v>0</v>
      </c>
      <c r="O777" t="s">
        <v>20</v>
      </c>
    </row>
    <row r="778" spans="1:15" x14ac:dyDescent="0.35">
      <c r="A778" t="s">
        <v>15</v>
      </c>
      <c r="B778">
        <v>2020</v>
      </c>
      <c r="C778">
        <v>82</v>
      </c>
      <c r="D778" t="s">
        <v>16</v>
      </c>
      <c r="E778" t="s">
        <v>19</v>
      </c>
      <c r="F778">
        <v>8.8800000000000008</v>
      </c>
      <c r="G778">
        <v>35.61</v>
      </c>
      <c r="H778">
        <v>210.62</v>
      </c>
      <c r="I778">
        <v>148.88</v>
      </c>
      <c r="J778">
        <v>4.18</v>
      </c>
      <c r="K778">
        <v>8.5</v>
      </c>
      <c r="L778">
        <v>2.08</v>
      </c>
      <c r="M778">
        <v>1</v>
      </c>
      <c r="N778">
        <v>0</v>
      </c>
      <c r="O778" t="s">
        <v>20</v>
      </c>
    </row>
    <row r="779" spans="1:15" x14ac:dyDescent="0.35">
      <c r="A779" t="s">
        <v>15</v>
      </c>
      <c r="B779">
        <v>2020</v>
      </c>
      <c r="C779">
        <v>69</v>
      </c>
      <c r="D779" t="s">
        <v>16</v>
      </c>
      <c r="E779" t="s">
        <v>19</v>
      </c>
      <c r="F779">
        <v>7.9</v>
      </c>
      <c r="G779">
        <v>60.97</v>
      </c>
      <c r="H779">
        <v>198.33</v>
      </c>
      <c r="I779">
        <v>206.09</v>
      </c>
      <c r="J779">
        <v>3.38</v>
      </c>
      <c r="K779">
        <v>9.9</v>
      </c>
      <c r="L779">
        <v>2.42</v>
      </c>
      <c r="M779">
        <v>1</v>
      </c>
      <c r="N779">
        <v>0</v>
      </c>
      <c r="O779" t="s">
        <v>20</v>
      </c>
    </row>
    <row r="780" spans="1:15" x14ac:dyDescent="0.35">
      <c r="A780" t="s">
        <v>15</v>
      </c>
      <c r="B780">
        <v>2020</v>
      </c>
      <c r="C780">
        <v>72</v>
      </c>
      <c r="D780" t="s">
        <v>16</v>
      </c>
      <c r="E780" t="s">
        <v>19</v>
      </c>
      <c r="F780">
        <v>6.69</v>
      </c>
      <c r="G780">
        <v>49.11</v>
      </c>
      <c r="H780">
        <v>127.99</v>
      </c>
      <c r="I780">
        <v>186.79</v>
      </c>
      <c r="J780">
        <v>3.8</v>
      </c>
      <c r="K780">
        <v>7.51</v>
      </c>
      <c r="L780">
        <v>1.84</v>
      </c>
      <c r="M780">
        <v>1</v>
      </c>
      <c r="N780">
        <v>0</v>
      </c>
      <c r="O780" t="s">
        <v>23</v>
      </c>
    </row>
    <row r="781" spans="1:15" x14ac:dyDescent="0.35">
      <c r="A781" t="s">
        <v>15</v>
      </c>
      <c r="B781">
        <v>2020</v>
      </c>
      <c r="C781">
        <v>50</v>
      </c>
      <c r="D781" t="s">
        <v>16</v>
      </c>
      <c r="E781" t="s">
        <v>17</v>
      </c>
      <c r="F781">
        <v>8.08</v>
      </c>
      <c r="G781">
        <v>38.5</v>
      </c>
      <c r="H781">
        <v>150.33000000000001</v>
      </c>
      <c r="I781">
        <v>144.9</v>
      </c>
      <c r="J781">
        <v>3.76</v>
      </c>
      <c r="K781">
        <v>9.74</v>
      </c>
      <c r="L781">
        <v>2.38</v>
      </c>
      <c r="M781">
        <v>1</v>
      </c>
      <c r="N781">
        <v>0</v>
      </c>
      <c r="O781" t="s">
        <v>18</v>
      </c>
    </row>
    <row r="782" spans="1:15" x14ac:dyDescent="0.35">
      <c r="A782" t="s">
        <v>15</v>
      </c>
      <c r="B782">
        <v>2020</v>
      </c>
      <c r="C782">
        <v>36</v>
      </c>
      <c r="D782" t="s">
        <v>16</v>
      </c>
      <c r="E782" t="s">
        <v>17</v>
      </c>
      <c r="F782">
        <v>7.97</v>
      </c>
      <c r="G782">
        <v>39.42</v>
      </c>
      <c r="H782">
        <v>182.58</v>
      </c>
      <c r="I782">
        <v>217.71</v>
      </c>
      <c r="J782">
        <v>5.52</v>
      </c>
      <c r="K782">
        <v>5.41</v>
      </c>
      <c r="L782">
        <v>1.32</v>
      </c>
      <c r="M782">
        <v>1</v>
      </c>
      <c r="N782">
        <v>0</v>
      </c>
      <c r="O782" t="s">
        <v>20</v>
      </c>
    </row>
    <row r="783" spans="1:15" x14ac:dyDescent="0.35">
      <c r="A783" t="s">
        <v>15</v>
      </c>
      <c r="B783">
        <v>2020</v>
      </c>
      <c r="C783">
        <v>39</v>
      </c>
      <c r="D783" t="s">
        <v>16</v>
      </c>
      <c r="E783" t="s">
        <v>17</v>
      </c>
      <c r="F783">
        <v>9.44</v>
      </c>
      <c r="G783">
        <v>26.71</v>
      </c>
      <c r="H783">
        <v>241.74</v>
      </c>
      <c r="I783">
        <v>232.13</v>
      </c>
      <c r="J783">
        <v>8.69</v>
      </c>
      <c r="K783">
        <v>8.74</v>
      </c>
      <c r="L783">
        <v>2.14</v>
      </c>
      <c r="M783">
        <v>1</v>
      </c>
      <c r="N783">
        <v>0</v>
      </c>
      <c r="O783" t="s">
        <v>20</v>
      </c>
    </row>
    <row r="784" spans="1:15" x14ac:dyDescent="0.35">
      <c r="A784" t="s">
        <v>15</v>
      </c>
      <c r="B784">
        <v>2020</v>
      </c>
      <c r="C784">
        <v>38</v>
      </c>
      <c r="D784" t="s">
        <v>16</v>
      </c>
      <c r="E784" t="s">
        <v>17</v>
      </c>
      <c r="F784">
        <v>7.71</v>
      </c>
      <c r="G784">
        <v>41.44</v>
      </c>
      <c r="H784">
        <v>158.61000000000001</v>
      </c>
      <c r="I784">
        <v>177.61</v>
      </c>
      <c r="J784">
        <v>4.29</v>
      </c>
      <c r="K784">
        <v>5.45</v>
      </c>
      <c r="L784">
        <v>1.33</v>
      </c>
      <c r="M784">
        <v>1</v>
      </c>
      <c r="N784">
        <v>0</v>
      </c>
      <c r="O784" t="s">
        <v>18</v>
      </c>
    </row>
    <row r="785" spans="1:15" x14ac:dyDescent="0.35">
      <c r="A785" t="s">
        <v>15</v>
      </c>
      <c r="B785">
        <v>2020</v>
      </c>
      <c r="C785">
        <v>31</v>
      </c>
      <c r="D785" t="s">
        <v>16</v>
      </c>
      <c r="E785" t="s">
        <v>17</v>
      </c>
      <c r="F785">
        <v>7.69</v>
      </c>
      <c r="G785">
        <v>39.340000000000003</v>
      </c>
      <c r="H785">
        <v>159.22</v>
      </c>
      <c r="I785">
        <v>125.66</v>
      </c>
      <c r="J785">
        <v>3.19</v>
      </c>
      <c r="K785">
        <v>4.21</v>
      </c>
      <c r="L785">
        <v>1.03</v>
      </c>
      <c r="M785">
        <v>1</v>
      </c>
      <c r="N785">
        <v>0</v>
      </c>
      <c r="O785" t="s">
        <v>18</v>
      </c>
    </row>
    <row r="786" spans="1:15" x14ac:dyDescent="0.35">
      <c r="A786" t="s">
        <v>15</v>
      </c>
      <c r="B786">
        <v>2020</v>
      </c>
      <c r="C786">
        <v>60</v>
      </c>
      <c r="D786" t="s">
        <v>16</v>
      </c>
      <c r="E786" t="s">
        <v>19</v>
      </c>
      <c r="F786">
        <v>8.99</v>
      </c>
      <c r="G786">
        <v>48.84</v>
      </c>
      <c r="H786">
        <v>176.45</v>
      </c>
      <c r="I786">
        <v>251.51</v>
      </c>
      <c r="J786">
        <v>5.15</v>
      </c>
      <c r="K786">
        <v>9.92</v>
      </c>
      <c r="L786">
        <v>2.42</v>
      </c>
      <c r="M786">
        <v>1</v>
      </c>
      <c r="N786">
        <v>0</v>
      </c>
      <c r="O786" t="s">
        <v>20</v>
      </c>
    </row>
    <row r="787" spans="1:15" x14ac:dyDescent="0.35">
      <c r="A787" t="s">
        <v>15</v>
      </c>
      <c r="B787">
        <v>2020</v>
      </c>
      <c r="C787">
        <v>19</v>
      </c>
      <c r="D787" t="s">
        <v>16</v>
      </c>
      <c r="E787" t="s">
        <v>24</v>
      </c>
      <c r="F787">
        <v>7.51</v>
      </c>
      <c r="G787">
        <v>37.950000000000003</v>
      </c>
      <c r="H787">
        <v>134.13999999999999</v>
      </c>
      <c r="I787">
        <v>167.7</v>
      </c>
      <c r="J787">
        <v>4.42</v>
      </c>
      <c r="K787">
        <v>7.03</v>
      </c>
      <c r="L787">
        <v>1.72</v>
      </c>
      <c r="M787">
        <v>1</v>
      </c>
      <c r="N787">
        <v>0</v>
      </c>
      <c r="O787" t="s">
        <v>18</v>
      </c>
    </row>
    <row r="788" spans="1:15" x14ac:dyDescent="0.35">
      <c r="A788" t="s">
        <v>15</v>
      </c>
      <c r="B788">
        <v>2020</v>
      </c>
      <c r="C788">
        <v>7</v>
      </c>
      <c r="D788" t="s">
        <v>16</v>
      </c>
      <c r="E788" t="s">
        <v>22</v>
      </c>
      <c r="F788">
        <v>7.84</v>
      </c>
      <c r="G788">
        <v>50.62</v>
      </c>
      <c r="H788">
        <v>149.99</v>
      </c>
      <c r="I788">
        <v>234.87</v>
      </c>
      <c r="J788">
        <v>4.6399999999999997</v>
      </c>
      <c r="K788">
        <v>2.66</v>
      </c>
      <c r="L788">
        <v>0.65</v>
      </c>
      <c r="M788">
        <v>1</v>
      </c>
      <c r="N788">
        <v>0</v>
      </c>
      <c r="O788" t="s">
        <v>20</v>
      </c>
    </row>
    <row r="789" spans="1:15" x14ac:dyDescent="0.35">
      <c r="A789" t="s">
        <v>15</v>
      </c>
      <c r="B789">
        <v>2020</v>
      </c>
      <c r="C789">
        <v>13</v>
      </c>
      <c r="D789" t="s">
        <v>16</v>
      </c>
      <c r="E789" t="s">
        <v>24</v>
      </c>
      <c r="F789">
        <v>8.15</v>
      </c>
      <c r="G789">
        <v>49.3</v>
      </c>
      <c r="H789">
        <v>157.77000000000001</v>
      </c>
      <c r="I789">
        <v>292.57</v>
      </c>
      <c r="J789">
        <v>5.93</v>
      </c>
      <c r="K789">
        <v>0.09</v>
      </c>
      <c r="L789">
        <v>0.02</v>
      </c>
      <c r="M789">
        <v>1</v>
      </c>
      <c r="N789">
        <v>0</v>
      </c>
      <c r="O789" t="s">
        <v>20</v>
      </c>
    </row>
    <row r="790" spans="1:15" x14ac:dyDescent="0.35">
      <c r="A790" t="s">
        <v>15</v>
      </c>
      <c r="B790">
        <v>2020</v>
      </c>
      <c r="C790">
        <v>7</v>
      </c>
      <c r="D790" t="s">
        <v>16</v>
      </c>
      <c r="E790" t="s">
        <v>22</v>
      </c>
      <c r="F790">
        <v>6.22</v>
      </c>
      <c r="G790">
        <v>34.53</v>
      </c>
      <c r="H790">
        <v>150.29</v>
      </c>
      <c r="I790">
        <v>130.35</v>
      </c>
      <c r="J790">
        <v>3.78</v>
      </c>
      <c r="K790">
        <v>3.97</v>
      </c>
      <c r="L790">
        <v>0.97</v>
      </c>
      <c r="M790">
        <v>0</v>
      </c>
      <c r="N790">
        <v>0</v>
      </c>
      <c r="O790" t="s">
        <v>18</v>
      </c>
    </row>
    <row r="791" spans="1:15" x14ac:dyDescent="0.35">
      <c r="A791" t="s">
        <v>15</v>
      </c>
      <c r="B791">
        <v>2020</v>
      </c>
      <c r="C791">
        <v>84</v>
      </c>
      <c r="D791" t="s">
        <v>16</v>
      </c>
      <c r="E791" t="s">
        <v>19</v>
      </c>
      <c r="F791">
        <v>8.75</v>
      </c>
      <c r="G791">
        <v>52.11</v>
      </c>
      <c r="H791">
        <v>184.63</v>
      </c>
      <c r="I791">
        <v>159.61000000000001</v>
      </c>
      <c r="J791">
        <v>3.06</v>
      </c>
      <c r="K791">
        <v>9.3800000000000008</v>
      </c>
      <c r="L791">
        <v>2.29</v>
      </c>
      <c r="M791">
        <v>1</v>
      </c>
      <c r="N791">
        <v>0</v>
      </c>
      <c r="O791" t="s">
        <v>20</v>
      </c>
    </row>
    <row r="792" spans="1:15" x14ac:dyDescent="0.35">
      <c r="A792" t="s">
        <v>15</v>
      </c>
      <c r="B792">
        <v>2020</v>
      </c>
      <c r="C792">
        <v>12</v>
      </c>
      <c r="D792" t="s">
        <v>16</v>
      </c>
      <c r="E792" t="s">
        <v>22</v>
      </c>
      <c r="F792">
        <v>6.68</v>
      </c>
      <c r="G792">
        <v>49.39</v>
      </c>
      <c r="H792">
        <v>219.07</v>
      </c>
      <c r="I792">
        <v>175.36</v>
      </c>
      <c r="J792">
        <v>3.55</v>
      </c>
      <c r="K792">
        <v>10.01</v>
      </c>
      <c r="L792">
        <v>2.4500000000000002</v>
      </c>
      <c r="M792">
        <v>1</v>
      </c>
      <c r="N792">
        <v>0</v>
      </c>
      <c r="O792" t="s">
        <v>20</v>
      </c>
    </row>
    <row r="793" spans="1:15" x14ac:dyDescent="0.35">
      <c r="A793" t="s">
        <v>15</v>
      </c>
      <c r="B793">
        <v>2020</v>
      </c>
      <c r="C793">
        <v>73</v>
      </c>
      <c r="D793" t="s">
        <v>21</v>
      </c>
      <c r="E793" t="s">
        <v>19</v>
      </c>
      <c r="F793">
        <v>8</v>
      </c>
      <c r="G793">
        <v>55.24</v>
      </c>
      <c r="H793">
        <v>132.37</v>
      </c>
      <c r="I793">
        <v>206.95</v>
      </c>
      <c r="J793">
        <v>3.75</v>
      </c>
      <c r="K793">
        <v>4.2699999999999996</v>
      </c>
      <c r="L793">
        <v>1.04</v>
      </c>
      <c r="M793">
        <v>1</v>
      </c>
      <c r="N793">
        <v>0</v>
      </c>
      <c r="O793" t="s">
        <v>20</v>
      </c>
    </row>
    <row r="794" spans="1:15" x14ac:dyDescent="0.35">
      <c r="A794" t="s">
        <v>15</v>
      </c>
      <c r="B794">
        <v>2020</v>
      </c>
      <c r="C794">
        <v>4</v>
      </c>
      <c r="D794" t="s">
        <v>21</v>
      </c>
      <c r="E794" t="s">
        <v>22</v>
      </c>
      <c r="F794">
        <v>8.27</v>
      </c>
      <c r="G794">
        <v>51.4</v>
      </c>
      <c r="H794">
        <v>168.63</v>
      </c>
      <c r="I794">
        <v>67.599999999999994</v>
      </c>
      <c r="J794">
        <v>1.32</v>
      </c>
      <c r="K794">
        <v>3.96</v>
      </c>
      <c r="L794">
        <v>0.97</v>
      </c>
      <c r="M794">
        <v>1</v>
      </c>
      <c r="N794">
        <v>0</v>
      </c>
      <c r="O794" t="s">
        <v>20</v>
      </c>
    </row>
    <row r="795" spans="1:15" x14ac:dyDescent="0.35">
      <c r="A795" t="s">
        <v>15</v>
      </c>
      <c r="B795">
        <v>2020</v>
      </c>
      <c r="C795">
        <v>36</v>
      </c>
      <c r="D795" t="s">
        <v>21</v>
      </c>
      <c r="E795" t="s">
        <v>17</v>
      </c>
      <c r="F795">
        <v>6.98</v>
      </c>
      <c r="G795">
        <v>58.8</v>
      </c>
      <c r="H795">
        <v>199.01</v>
      </c>
      <c r="I795">
        <v>195.49</v>
      </c>
      <c r="J795">
        <v>3.32</v>
      </c>
      <c r="K795">
        <v>3.05</v>
      </c>
      <c r="L795">
        <v>0.75</v>
      </c>
      <c r="M795">
        <v>1</v>
      </c>
      <c r="N795">
        <v>0</v>
      </c>
      <c r="O795" t="s">
        <v>20</v>
      </c>
    </row>
    <row r="796" spans="1:15" x14ac:dyDescent="0.35">
      <c r="A796" t="s">
        <v>15</v>
      </c>
      <c r="B796">
        <v>2020</v>
      </c>
      <c r="C796">
        <v>19</v>
      </c>
      <c r="D796" t="s">
        <v>21</v>
      </c>
      <c r="E796" t="s">
        <v>24</v>
      </c>
      <c r="F796">
        <v>6.85</v>
      </c>
      <c r="G796">
        <v>60.15</v>
      </c>
      <c r="H796">
        <v>145.96</v>
      </c>
      <c r="I796">
        <v>147.05000000000001</v>
      </c>
      <c r="J796">
        <v>2.44</v>
      </c>
      <c r="K796">
        <v>2.81</v>
      </c>
      <c r="L796">
        <v>0.69</v>
      </c>
      <c r="M796">
        <v>1</v>
      </c>
      <c r="N796">
        <v>0</v>
      </c>
      <c r="O796" t="s">
        <v>18</v>
      </c>
    </row>
    <row r="797" spans="1:15" x14ac:dyDescent="0.35">
      <c r="A797" t="s">
        <v>15</v>
      </c>
      <c r="B797">
        <v>2020</v>
      </c>
      <c r="C797">
        <v>55</v>
      </c>
      <c r="D797" t="s">
        <v>16</v>
      </c>
      <c r="E797" t="s">
        <v>17</v>
      </c>
      <c r="F797">
        <v>6.22</v>
      </c>
      <c r="G797">
        <v>66.11</v>
      </c>
      <c r="H797">
        <v>199.14</v>
      </c>
      <c r="I797">
        <v>189.04</v>
      </c>
      <c r="J797">
        <v>2.86</v>
      </c>
      <c r="K797">
        <v>16.16</v>
      </c>
      <c r="L797">
        <v>3.95</v>
      </c>
      <c r="M797">
        <v>0</v>
      </c>
      <c r="N797">
        <v>1</v>
      </c>
      <c r="O797" t="s">
        <v>20</v>
      </c>
    </row>
    <row r="798" spans="1:15" x14ac:dyDescent="0.35">
      <c r="A798" t="s">
        <v>15</v>
      </c>
      <c r="B798">
        <v>2020</v>
      </c>
      <c r="C798">
        <v>77</v>
      </c>
      <c r="D798" t="s">
        <v>16</v>
      </c>
      <c r="E798" t="s">
        <v>19</v>
      </c>
      <c r="F798">
        <v>10.45</v>
      </c>
      <c r="G798">
        <v>37.78</v>
      </c>
      <c r="H798">
        <v>169.68</v>
      </c>
      <c r="I798">
        <v>187.25</v>
      </c>
      <c r="J798">
        <v>4.96</v>
      </c>
      <c r="K798">
        <v>17.57</v>
      </c>
      <c r="L798">
        <v>4.3</v>
      </c>
      <c r="M798">
        <v>1</v>
      </c>
      <c r="N798">
        <v>1</v>
      </c>
      <c r="O798" t="s">
        <v>20</v>
      </c>
    </row>
    <row r="799" spans="1:15" x14ac:dyDescent="0.35">
      <c r="A799" t="s">
        <v>15</v>
      </c>
      <c r="B799">
        <v>2020</v>
      </c>
      <c r="C799">
        <v>4</v>
      </c>
      <c r="D799" t="s">
        <v>21</v>
      </c>
      <c r="E799" t="s">
        <v>22</v>
      </c>
      <c r="F799">
        <v>7.06</v>
      </c>
      <c r="G799">
        <v>35.31</v>
      </c>
      <c r="H799">
        <v>154.94</v>
      </c>
      <c r="I799">
        <v>222.96</v>
      </c>
      <c r="J799">
        <v>6.31</v>
      </c>
      <c r="K799">
        <v>2.2599999999999998</v>
      </c>
      <c r="L799">
        <v>0.55000000000000004</v>
      </c>
      <c r="M799">
        <v>1</v>
      </c>
      <c r="N799">
        <v>0</v>
      </c>
      <c r="O799" t="s">
        <v>20</v>
      </c>
    </row>
    <row r="800" spans="1:15" x14ac:dyDescent="0.35">
      <c r="A800" t="s">
        <v>15</v>
      </c>
      <c r="B800">
        <v>2020</v>
      </c>
      <c r="C800">
        <v>63</v>
      </c>
      <c r="D800" t="s">
        <v>21</v>
      </c>
      <c r="E800" t="s">
        <v>19</v>
      </c>
      <c r="F800">
        <v>9.08</v>
      </c>
      <c r="G800">
        <v>54.96</v>
      </c>
      <c r="H800">
        <v>180.2</v>
      </c>
      <c r="I800">
        <v>313.45</v>
      </c>
      <c r="J800">
        <v>5.7</v>
      </c>
      <c r="K800">
        <v>1.4</v>
      </c>
      <c r="L800">
        <v>0.34</v>
      </c>
      <c r="M800">
        <v>1</v>
      </c>
      <c r="N800">
        <v>0</v>
      </c>
      <c r="O800" t="s">
        <v>20</v>
      </c>
    </row>
    <row r="801" spans="1:15" x14ac:dyDescent="0.35">
      <c r="A801" t="s">
        <v>15</v>
      </c>
      <c r="B801">
        <v>2020</v>
      </c>
      <c r="C801">
        <v>64</v>
      </c>
      <c r="D801" t="s">
        <v>21</v>
      </c>
      <c r="E801" t="s">
        <v>19</v>
      </c>
      <c r="F801">
        <v>7.17</v>
      </c>
      <c r="G801">
        <v>50.76</v>
      </c>
      <c r="H801">
        <v>182.58</v>
      </c>
      <c r="I801">
        <v>152.18</v>
      </c>
      <c r="J801">
        <v>3</v>
      </c>
      <c r="K801">
        <v>0.79</v>
      </c>
      <c r="L801">
        <v>0.19</v>
      </c>
      <c r="M801">
        <v>1</v>
      </c>
      <c r="N801">
        <v>0</v>
      </c>
      <c r="O801" t="s">
        <v>20</v>
      </c>
    </row>
    <row r="802" spans="1:15" x14ac:dyDescent="0.35">
      <c r="A802" t="s">
        <v>15</v>
      </c>
      <c r="B802">
        <v>2021</v>
      </c>
      <c r="C802">
        <v>49</v>
      </c>
      <c r="D802" t="s">
        <v>21</v>
      </c>
      <c r="E802" t="s">
        <v>17</v>
      </c>
      <c r="F802">
        <v>8.49</v>
      </c>
      <c r="G802">
        <v>40.36</v>
      </c>
      <c r="H802">
        <v>176</v>
      </c>
      <c r="I802">
        <v>240.33</v>
      </c>
      <c r="J802">
        <v>5.95</v>
      </c>
      <c r="K802">
        <v>11.25</v>
      </c>
      <c r="L802">
        <v>2.75</v>
      </c>
      <c r="M802">
        <v>1</v>
      </c>
      <c r="N802">
        <v>1</v>
      </c>
      <c r="O802" t="s">
        <v>20</v>
      </c>
    </row>
    <row r="803" spans="1:15" x14ac:dyDescent="0.35">
      <c r="A803" t="s">
        <v>15</v>
      </c>
      <c r="B803">
        <v>2021</v>
      </c>
      <c r="C803">
        <v>75</v>
      </c>
      <c r="D803" t="s">
        <v>21</v>
      </c>
      <c r="E803" t="s">
        <v>19</v>
      </c>
      <c r="F803">
        <v>7.99</v>
      </c>
      <c r="G803">
        <v>62.06</v>
      </c>
      <c r="H803">
        <v>153.57</v>
      </c>
      <c r="I803">
        <v>232.13</v>
      </c>
      <c r="J803">
        <v>3.74</v>
      </c>
      <c r="K803">
        <v>11.77</v>
      </c>
      <c r="L803">
        <v>2.88</v>
      </c>
      <c r="M803">
        <v>1</v>
      </c>
      <c r="N803">
        <v>1</v>
      </c>
      <c r="O803" t="s">
        <v>20</v>
      </c>
    </row>
    <row r="804" spans="1:15" x14ac:dyDescent="0.35">
      <c r="A804" t="s">
        <v>15</v>
      </c>
      <c r="B804">
        <v>2021</v>
      </c>
      <c r="C804">
        <v>20</v>
      </c>
      <c r="D804" t="s">
        <v>16</v>
      </c>
      <c r="E804" t="s">
        <v>17</v>
      </c>
      <c r="F804">
        <v>7.65</v>
      </c>
      <c r="G804">
        <v>63.89</v>
      </c>
      <c r="H804">
        <v>171.08</v>
      </c>
      <c r="I804">
        <v>153.6</v>
      </c>
      <c r="J804">
        <v>2.4</v>
      </c>
      <c r="K804">
        <v>10.44</v>
      </c>
      <c r="L804">
        <v>2.5499999999999998</v>
      </c>
      <c r="M804">
        <v>1</v>
      </c>
      <c r="N804">
        <v>1</v>
      </c>
      <c r="O804" t="s">
        <v>20</v>
      </c>
    </row>
    <row r="805" spans="1:15" x14ac:dyDescent="0.35">
      <c r="A805" t="s">
        <v>15</v>
      </c>
      <c r="B805">
        <v>2021</v>
      </c>
      <c r="C805">
        <v>59</v>
      </c>
      <c r="D805" t="s">
        <v>16</v>
      </c>
      <c r="E805" t="s">
        <v>17</v>
      </c>
      <c r="F805">
        <v>8.23</v>
      </c>
      <c r="G805">
        <v>42.07</v>
      </c>
      <c r="H805">
        <v>159.38</v>
      </c>
      <c r="I805">
        <v>191.85</v>
      </c>
      <c r="J805">
        <v>4.5599999999999996</v>
      </c>
      <c r="K805">
        <v>10.41</v>
      </c>
      <c r="L805">
        <v>2.5499999999999998</v>
      </c>
      <c r="M805">
        <v>1</v>
      </c>
      <c r="N805">
        <v>1</v>
      </c>
      <c r="O805" t="s">
        <v>18</v>
      </c>
    </row>
    <row r="806" spans="1:15" x14ac:dyDescent="0.35">
      <c r="A806" t="s">
        <v>15</v>
      </c>
      <c r="B806">
        <v>2021</v>
      </c>
      <c r="C806">
        <v>46</v>
      </c>
      <c r="D806" t="s">
        <v>21</v>
      </c>
      <c r="E806" t="s">
        <v>17</v>
      </c>
      <c r="F806">
        <v>7.03</v>
      </c>
      <c r="G806">
        <v>47.43</v>
      </c>
      <c r="H806">
        <v>167.23</v>
      </c>
      <c r="I806">
        <v>183.89</v>
      </c>
      <c r="J806">
        <v>3.88</v>
      </c>
      <c r="K806">
        <v>12.61</v>
      </c>
      <c r="L806">
        <v>3.08</v>
      </c>
      <c r="M806">
        <v>1</v>
      </c>
      <c r="N806">
        <v>1</v>
      </c>
      <c r="O806" t="s">
        <v>20</v>
      </c>
    </row>
    <row r="807" spans="1:15" x14ac:dyDescent="0.35">
      <c r="A807" t="s">
        <v>15</v>
      </c>
      <c r="B807">
        <v>2021</v>
      </c>
      <c r="C807">
        <v>19</v>
      </c>
      <c r="D807" t="s">
        <v>21</v>
      </c>
      <c r="E807" t="s">
        <v>24</v>
      </c>
      <c r="F807">
        <v>7.97</v>
      </c>
      <c r="G807">
        <v>28.74</v>
      </c>
      <c r="H807">
        <v>168.18</v>
      </c>
      <c r="I807">
        <v>106.11</v>
      </c>
      <c r="J807">
        <v>3.69</v>
      </c>
      <c r="K807">
        <v>12.76</v>
      </c>
      <c r="L807">
        <v>3.12</v>
      </c>
      <c r="M807">
        <v>1</v>
      </c>
      <c r="N807">
        <v>1</v>
      </c>
      <c r="O807" t="s">
        <v>20</v>
      </c>
    </row>
    <row r="808" spans="1:15" x14ac:dyDescent="0.35">
      <c r="A808" t="s">
        <v>15</v>
      </c>
      <c r="B808">
        <v>2021</v>
      </c>
      <c r="C808">
        <v>78</v>
      </c>
      <c r="D808" t="s">
        <v>16</v>
      </c>
      <c r="E808" t="s">
        <v>19</v>
      </c>
      <c r="F808">
        <v>9.26</v>
      </c>
      <c r="G808">
        <v>31.74</v>
      </c>
      <c r="H808">
        <v>149.43</v>
      </c>
      <c r="I808">
        <v>175.19</v>
      </c>
      <c r="J808">
        <v>5.52</v>
      </c>
      <c r="K808">
        <v>10.5</v>
      </c>
      <c r="L808">
        <v>2.57</v>
      </c>
      <c r="M808">
        <v>1</v>
      </c>
      <c r="N808">
        <v>1</v>
      </c>
      <c r="O808" t="s">
        <v>18</v>
      </c>
    </row>
    <row r="809" spans="1:15" x14ac:dyDescent="0.35">
      <c r="A809" t="s">
        <v>15</v>
      </c>
      <c r="B809">
        <v>2021</v>
      </c>
      <c r="C809">
        <v>31</v>
      </c>
      <c r="D809" t="s">
        <v>16</v>
      </c>
      <c r="E809" t="s">
        <v>17</v>
      </c>
      <c r="F809">
        <v>8.32</v>
      </c>
      <c r="G809">
        <v>73.05</v>
      </c>
      <c r="H809">
        <v>138.65</v>
      </c>
      <c r="I809">
        <v>226.03</v>
      </c>
      <c r="J809">
        <v>3.09</v>
      </c>
      <c r="K809">
        <v>10.68</v>
      </c>
      <c r="L809">
        <v>2.61</v>
      </c>
      <c r="M809">
        <v>1</v>
      </c>
      <c r="N809">
        <v>1</v>
      </c>
      <c r="O809" t="s">
        <v>20</v>
      </c>
    </row>
    <row r="810" spans="1:15" x14ac:dyDescent="0.35">
      <c r="A810" t="s">
        <v>15</v>
      </c>
      <c r="B810">
        <v>2021</v>
      </c>
      <c r="C810">
        <v>84</v>
      </c>
      <c r="D810" t="s">
        <v>21</v>
      </c>
      <c r="E810" t="s">
        <v>19</v>
      </c>
      <c r="F810">
        <v>8.6999999999999993</v>
      </c>
      <c r="G810">
        <v>45.14</v>
      </c>
      <c r="H810">
        <v>159.66</v>
      </c>
      <c r="I810">
        <v>298.63</v>
      </c>
      <c r="J810">
        <v>6.62</v>
      </c>
      <c r="K810">
        <v>10.46</v>
      </c>
      <c r="L810">
        <v>2.56</v>
      </c>
      <c r="M810">
        <v>1</v>
      </c>
      <c r="N810">
        <v>1</v>
      </c>
      <c r="O810" t="s">
        <v>20</v>
      </c>
    </row>
    <row r="811" spans="1:15" x14ac:dyDescent="0.35">
      <c r="A811" t="s">
        <v>15</v>
      </c>
      <c r="B811">
        <v>2021</v>
      </c>
      <c r="C811">
        <v>81</v>
      </c>
      <c r="D811" t="s">
        <v>21</v>
      </c>
      <c r="E811" t="s">
        <v>19</v>
      </c>
      <c r="F811">
        <v>10.42</v>
      </c>
      <c r="G811">
        <v>51.07</v>
      </c>
      <c r="H811">
        <v>174.17</v>
      </c>
      <c r="I811">
        <v>241.72</v>
      </c>
      <c r="J811">
        <v>4.7300000000000004</v>
      </c>
      <c r="K811">
        <v>10.39</v>
      </c>
      <c r="L811">
        <v>2.54</v>
      </c>
      <c r="M811">
        <v>1</v>
      </c>
      <c r="N811">
        <v>1</v>
      </c>
      <c r="O811" t="s">
        <v>20</v>
      </c>
    </row>
    <row r="812" spans="1:15" x14ac:dyDescent="0.35">
      <c r="A812" t="s">
        <v>15</v>
      </c>
      <c r="B812">
        <v>2021</v>
      </c>
      <c r="C812">
        <v>51</v>
      </c>
      <c r="D812" t="s">
        <v>16</v>
      </c>
      <c r="E812" t="s">
        <v>17</v>
      </c>
      <c r="F812">
        <v>9.02</v>
      </c>
      <c r="G812">
        <v>66.03</v>
      </c>
      <c r="H812">
        <v>169.76</v>
      </c>
      <c r="I812">
        <v>152.97</v>
      </c>
      <c r="J812">
        <v>2.3199999999999998</v>
      </c>
      <c r="K812">
        <v>11.1</v>
      </c>
      <c r="L812">
        <v>2.71</v>
      </c>
      <c r="M812">
        <v>1</v>
      </c>
      <c r="N812">
        <v>1</v>
      </c>
      <c r="O812" t="s">
        <v>20</v>
      </c>
    </row>
    <row r="813" spans="1:15" x14ac:dyDescent="0.35">
      <c r="A813" t="s">
        <v>15</v>
      </c>
      <c r="B813">
        <v>2021</v>
      </c>
      <c r="C813">
        <v>42</v>
      </c>
      <c r="D813" t="s">
        <v>21</v>
      </c>
      <c r="E813" t="s">
        <v>17</v>
      </c>
      <c r="F813">
        <v>7.12</v>
      </c>
      <c r="G813">
        <v>41.94</v>
      </c>
      <c r="H813">
        <v>185.41</v>
      </c>
      <c r="I813">
        <v>133.15</v>
      </c>
      <c r="J813">
        <v>3.17</v>
      </c>
      <c r="K813">
        <v>9.8800000000000008</v>
      </c>
      <c r="L813">
        <v>2.41</v>
      </c>
      <c r="M813">
        <v>1</v>
      </c>
      <c r="N813">
        <v>0</v>
      </c>
      <c r="O813" t="s">
        <v>20</v>
      </c>
    </row>
    <row r="814" spans="1:15" x14ac:dyDescent="0.35">
      <c r="A814" t="s">
        <v>15</v>
      </c>
      <c r="B814">
        <v>2021</v>
      </c>
      <c r="C814">
        <v>23</v>
      </c>
      <c r="D814" t="s">
        <v>21</v>
      </c>
      <c r="E814" t="s">
        <v>17</v>
      </c>
      <c r="F814">
        <v>5.15</v>
      </c>
      <c r="G814">
        <v>28.02</v>
      </c>
      <c r="H814">
        <v>140.09</v>
      </c>
      <c r="I814">
        <v>187.47</v>
      </c>
      <c r="J814">
        <v>6.69</v>
      </c>
      <c r="K814">
        <v>9.59</v>
      </c>
      <c r="L814">
        <v>2.34</v>
      </c>
      <c r="M814">
        <v>0</v>
      </c>
      <c r="N814">
        <v>0</v>
      </c>
      <c r="O814" t="s">
        <v>18</v>
      </c>
    </row>
    <row r="815" spans="1:15" x14ac:dyDescent="0.35">
      <c r="A815" t="s">
        <v>15</v>
      </c>
      <c r="B815">
        <v>2021</v>
      </c>
      <c r="C815">
        <v>63</v>
      </c>
      <c r="D815" t="s">
        <v>16</v>
      </c>
      <c r="E815" t="s">
        <v>19</v>
      </c>
      <c r="F815">
        <v>7.67</v>
      </c>
      <c r="G815">
        <v>55.58</v>
      </c>
      <c r="H815">
        <v>167.47</v>
      </c>
      <c r="I815">
        <v>246.58</v>
      </c>
      <c r="J815">
        <v>4.4400000000000004</v>
      </c>
      <c r="K815">
        <v>11.14</v>
      </c>
      <c r="L815">
        <v>2.72</v>
      </c>
      <c r="M815">
        <v>1</v>
      </c>
      <c r="N815">
        <v>1</v>
      </c>
      <c r="O815" t="s">
        <v>20</v>
      </c>
    </row>
    <row r="816" spans="1:15" x14ac:dyDescent="0.35">
      <c r="A816" t="s">
        <v>15</v>
      </c>
      <c r="B816">
        <v>2021</v>
      </c>
      <c r="C816">
        <v>14</v>
      </c>
      <c r="D816" t="s">
        <v>21</v>
      </c>
      <c r="E816" t="s">
        <v>24</v>
      </c>
      <c r="F816">
        <v>9.2100000000000009</v>
      </c>
      <c r="G816">
        <v>48.9</v>
      </c>
      <c r="H816">
        <v>129.04</v>
      </c>
      <c r="I816">
        <v>222.45</v>
      </c>
      <c r="J816">
        <v>4.55</v>
      </c>
      <c r="K816">
        <v>9.25</v>
      </c>
      <c r="L816">
        <v>2.2599999999999998</v>
      </c>
      <c r="M816">
        <v>1</v>
      </c>
      <c r="N816">
        <v>0</v>
      </c>
      <c r="O816" t="s">
        <v>20</v>
      </c>
    </row>
    <row r="817" spans="1:15" x14ac:dyDescent="0.35">
      <c r="A817" t="s">
        <v>15</v>
      </c>
      <c r="B817">
        <v>2021</v>
      </c>
      <c r="C817">
        <v>27</v>
      </c>
      <c r="D817" t="s">
        <v>21</v>
      </c>
      <c r="E817" t="s">
        <v>17</v>
      </c>
      <c r="F817">
        <v>8.1199999999999992</v>
      </c>
      <c r="G817">
        <v>48.11</v>
      </c>
      <c r="H817">
        <v>183.12</v>
      </c>
      <c r="I817">
        <v>248.58</v>
      </c>
      <c r="J817">
        <v>5.17</v>
      </c>
      <c r="K817">
        <v>9.23</v>
      </c>
      <c r="L817">
        <v>2.2599999999999998</v>
      </c>
      <c r="M817">
        <v>1</v>
      </c>
      <c r="N817">
        <v>0</v>
      </c>
      <c r="O817" t="s">
        <v>20</v>
      </c>
    </row>
    <row r="818" spans="1:15" x14ac:dyDescent="0.35">
      <c r="A818" t="s">
        <v>15</v>
      </c>
      <c r="B818">
        <v>2021</v>
      </c>
      <c r="C818">
        <v>84</v>
      </c>
      <c r="D818" t="s">
        <v>21</v>
      </c>
      <c r="E818" t="s">
        <v>19</v>
      </c>
      <c r="F818">
        <v>10.36</v>
      </c>
      <c r="G818">
        <v>42.86</v>
      </c>
      <c r="H818">
        <v>203.9</v>
      </c>
      <c r="I818">
        <v>252.71</v>
      </c>
      <c r="J818">
        <v>5.9</v>
      </c>
      <c r="K818">
        <v>9.09</v>
      </c>
      <c r="L818">
        <v>2.2200000000000002</v>
      </c>
      <c r="M818">
        <v>1</v>
      </c>
      <c r="N818">
        <v>0</v>
      </c>
      <c r="O818" t="s">
        <v>20</v>
      </c>
    </row>
    <row r="819" spans="1:15" x14ac:dyDescent="0.35">
      <c r="A819" t="s">
        <v>15</v>
      </c>
      <c r="B819">
        <v>2021</v>
      </c>
      <c r="C819">
        <v>57</v>
      </c>
      <c r="D819" t="s">
        <v>21</v>
      </c>
      <c r="E819" t="s">
        <v>17</v>
      </c>
      <c r="F819">
        <v>7.14</v>
      </c>
      <c r="G819">
        <v>32.94</v>
      </c>
      <c r="H819">
        <v>167</v>
      </c>
      <c r="I819">
        <v>261.63</v>
      </c>
      <c r="J819">
        <v>7.94</v>
      </c>
      <c r="K819">
        <v>7.52</v>
      </c>
      <c r="L819">
        <v>1.84</v>
      </c>
      <c r="M819">
        <v>1</v>
      </c>
      <c r="N819">
        <v>0</v>
      </c>
      <c r="O819" t="s">
        <v>20</v>
      </c>
    </row>
    <row r="820" spans="1:15" x14ac:dyDescent="0.35">
      <c r="A820" t="s">
        <v>15</v>
      </c>
      <c r="B820">
        <v>2021</v>
      </c>
      <c r="C820">
        <v>37</v>
      </c>
      <c r="D820" t="s">
        <v>16</v>
      </c>
      <c r="E820" t="s">
        <v>17</v>
      </c>
      <c r="F820">
        <v>7.89</v>
      </c>
      <c r="G820">
        <v>58.98</v>
      </c>
      <c r="H820">
        <v>124.81</v>
      </c>
      <c r="I820">
        <v>168.88</v>
      </c>
      <c r="J820">
        <v>2.86</v>
      </c>
      <c r="K820">
        <v>12.01</v>
      </c>
      <c r="L820">
        <v>2.94</v>
      </c>
      <c r="M820">
        <v>1</v>
      </c>
      <c r="N820">
        <v>1</v>
      </c>
      <c r="O820" t="s">
        <v>23</v>
      </c>
    </row>
    <row r="821" spans="1:15" x14ac:dyDescent="0.35">
      <c r="A821" t="s">
        <v>15</v>
      </c>
      <c r="B821">
        <v>2021</v>
      </c>
      <c r="C821">
        <v>48</v>
      </c>
      <c r="D821" t="s">
        <v>16</v>
      </c>
      <c r="E821" t="s">
        <v>17</v>
      </c>
      <c r="F821">
        <v>7.14</v>
      </c>
      <c r="G821">
        <v>45.79</v>
      </c>
      <c r="H821">
        <v>145.58000000000001</v>
      </c>
      <c r="I821">
        <v>181.23</v>
      </c>
      <c r="J821">
        <v>3.96</v>
      </c>
      <c r="K821">
        <v>12.18</v>
      </c>
      <c r="L821">
        <v>2.98</v>
      </c>
      <c r="M821">
        <v>1</v>
      </c>
      <c r="N821">
        <v>1</v>
      </c>
      <c r="O821" t="s">
        <v>18</v>
      </c>
    </row>
    <row r="822" spans="1:15" x14ac:dyDescent="0.35">
      <c r="A822" t="s">
        <v>15</v>
      </c>
      <c r="B822">
        <v>2021</v>
      </c>
      <c r="C822">
        <v>41</v>
      </c>
      <c r="D822" t="s">
        <v>21</v>
      </c>
      <c r="E822" t="s">
        <v>17</v>
      </c>
      <c r="F822">
        <v>8.17</v>
      </c>
      <c r="G822">
        <v>78.319999999999993</v>
      </c>
      <c r="H822">
        <v>149.32</v>
      </c>
      <c r="I822">
        <v>210.67</v>
      </c>
      <c r="J822">
        <v>2.69</v>
      </c>
      <c r="K822">
        <v>7.22</v>
      </c>
      <c r="L822">
        <v>1.77</v>
      </c>
      <c r="M822">
        <v>1</v>
      </c>
      <c r="N822">
        <v>0</v>
      </c>
      <c r="O822" t="s">
        <v>20</v>
      </c>
    </row>
    <row r="823" spans="1:15" x14ac:dyDescent="0.35">
      <c r="A823" t="s">
        <v>15</v>
      </c>
      <c r="B823">
        <v>2021</v>
      </c>
      <c r="C823">
        <v>48</v>
      </c>
      <c r="D823" t="s">
        <v>21</v>
      </c>
      <c r="E823" t="s">
        <v>17</v>
      </c>
      <c r="F823">
        <v>9.8699999999999992</v>
      </c>
      <c r="G823">
        <v>52.73</v>
      </c>
      <c r="H823">
        <v>181.3</v>
      </c>
      <c r="I823">
        <v>156.29</v>
      </c>
      <c r="J823">
        <v>2.96</v>
      </c>
      <c r="K823">
        <v>6.65</v>
      </c>
      <c r="L823">
        <v>1.63</v>
      </c>
      <c r="M823">
        <v>1</v>
      </c>
      <c r="N823">
        <v>0</v>
      </c>
      <c r="O823" t="s">
        <v>20</v>
      </c>
    </row>
    <row r="824" spans="1:15" x14ac:dyDescent="0.35">
      <c r="A824" t="s">
        <v>15</v>
      </c>
      <c r="B824">
        <v>2021</v>
      </c>
      <c r="C824">
        <v>18</v>
      </c>
      <c r="D824" t="s">
        <v>21</v>
      </c>
      <c r="E824" t="s">
        <v>24</v>
      </c>
      <c r="F824">
        <v>8.83</v>
      </c>
      <c r="G824">
        <v>56.66</v>
      </c>
      <c r="H824">
        <v>178.95</v>
      </c>
      <c r="I824">
        <v>193.43</v>
      </c>
      <c r="J824">
        <v>3.41</v>
      </c>
      <c r="K824">
        <v>6.64</v>
      </c>
      <c r="L824">
        <v>1.62</v>
      </c>
      <c r="M824">
        <v>1</v>
      </c>
      <c r="N824">
        <v>0</v>
      </c>
      <c r="O824" t="s">
        <v>20</v>
      </c>
    </row>
    <row r="825" spans="1:15" x14ac:dyDescent="0.35">
      <c r="A825" t="s">
        <v>15</v>
      </c>
      <c r="B825">
        <v>2021</v>
      </c>
      <c r="C825">
        <v>20</v>
      </c>
      <c r="D825" t="s">
        <v>16</v>
      </c>
      <c r="E825" t="s">
        <v>17</v>
      </c>
      <c r="F825">
        <v>9.9</v>
      </c>
      <c r="G825">
        <v>47.89</v>
      </c>
      <c r="H825">
        <v>162.57</v>
      </c>
      <c r="I825">
        <v>116.4</v>
      </c>
      <c r="J825">
        <v>2.4300000000000002</v>
      </c>
      <c r="K825">
        <v>13.13</v>
      </c>
      <c r="L825">
        <v>3.21</v>
      </c>
      <c r="M825">
        <v>1</v>
      </c>
      <c r="N825">
        <v>1</v>
      </c>
      <c r="O825" t="s">
        <v>20</v>
      </c>
    </row>
    <row r="826" spans="1:15" x14ac:dyDescent="0.35">
      <c r="A826" t="s">
        <v>15</v>
      </c>
      <c r="B826">
        <v>2021</v>
      </c>
      <c r="C826">
        <v>16</v>
      </c>
      <c r="D826" t="s">
        <v>21</v>
      </c>
      <c r="E826" t="s">
        <v>24</v>
      </c>
      <c r="F826">
        <v>6.42</v>
      </c>
      <c r="G826">
        <v>65.48</v>
      </c>
      <c r="H826">
        <v>165.44</v>
      </c>
      <c r="I826">
        <v>222.85</v>
      </c>
      <c r="J826">
        <v>3.4</v>
      </c>
      <c r="K826">
        <v>5.19</v>
      </c>
      <c r="L826">
        <v>1.27</v>
      </c>
      <c r="M826">
        <v>0</v>
      </c>
      <c r="N826">
        <v>0</v>
      </c>
      <c r="O826" t="s">
        <v>20</v>
      </c>
    </row>
    <row r="827" spans="1:15" x14ac:dyDescent="0.35">
      <c r="A827" t="s">
        <v>15</v>
      </c>
      <c r="B827">
        <v>2021</v>
      </c>
      <c r="C827">
        <v>35</v>
      </c>
      <c r="D827" t="s">
        <v>16</v>
      </c>
      <c r="E827" t="s">
        <v>17</v>
      </c>
      <c r="F827">
        <v>7.56</v>
      </c>
      <c r="G827">
        <v>43</v>
      </c>
      <c r="H827">
        <v>186.2</v>
      </c>
      <c r="I827">
        <v>63.9</v>
      </c>
      <c r="J827">
        <v>1.49</v>
      </c>
      <c r="K827">
        <v>13.31</v>
      </c>
      <c r="L827">
        <v>3.25</v>
      </c>
      <c r="M827">
        <v>1</v>
      </c>
      <c r="N827">
        <v>1</v>
      </c>
      <c r="O827" t="s">
        <v>20</v>
      </c>
    </row>
    <row r="828" spans="1:15" x14ac:dyDescent="0.35">
      <c r="A828" t="s">
        <v>15</v>
      </c>
      <c r="B828">
        <v>2021</v>
      </c>
      <c r="C828">
        <v>32</v>
      </c>
      <c r="D828" t="s">
        <v>16</v>
      </c>
      <c r="E828" t="s">
        <v>17</v>
      </c>
      <c r="F828">
        <v>9.32</v>
      </c>
      <c r="G828">
        <v>59.83</v>
      </c>
      <c r="H828">
        <v>166.41</v>
      </c>
      <c r="I828">
        <v>135.57</v>
      </c>
      <c r="J828">
        <v>2.27</v>
      </c>
      <c r="K828">
        <v>8.65</v>
      </c>
      <c r="L828">
        <v>2.11</v>
      </c>
      <c r="M828">
        <v>1</v>
      </c>
      <c r="N828">
        <v>0</v>
      </c>
      <c r="O828" t="s">
        <v>20</v>
      </c>
    </row>
    <row r="829" spans="1:15" x14ac:dyDescent="0.35">
      <c r="A829" t="s">
        <v>15</v>
      </c>
      <c r="B829">
        <v>2021</v>
      </c>
      <c r="C829">
        <v>67</v>
      </c>
      <c r="D829" t="s">
        <v>16</v>
      </c>
      <c r="E829" t="s">
        <v>19</v>
      </c>
      <c r="F829">
        <v>8.14</v>
      </c>
      <c r="G829">
        <v>52.2</v>
      </c>
      <c r="H829">
        <v>168</v>
      </c>
      <c r="I829">
        <v>117.65</v>
      </c>
      <c r="J829">
        <v>2.25</v>
      </c>
      <c r="K829">
        <v>9.27</v>
      </c>
      <c r="L829">
        <v>2.27</v>
      </c>
      <c r="M829">
        <v>1</v>
      </c>
      <c r="N829">
        <v>0</v>
      </c>
      <c r="O829" t="s">
        <v>20</v>
      </c>
    </row>
    <row r="830" spans="1:15" x14ac:dyDescent="0.35">
      <c r="A830" t="s">
        <v>15</v>
      </c>
      <c r="B830">
        <v>2021</v>
      </c>
      <c r="C830">
        <v>2</v>
      </c>
      <c r="D830" t="s">
        <v>16</v>
      </c>
      <c r="E830" t="s">
        <v>22</v>
      </c>
      <c r="F830">
        <v>7.01</v>
      </c>
      <c r="G830">
        <v>47.87</v>
      </c>
      <c r="H830">
        <v>160.57</v>
      </c>
      <c r="I830">
        <v>105.76</v>
      </c>
      <c r="J830">
        <v>2.21</v>
      </c>
      <c r="K830">
        <v>5.3</v>
      </c>
      <c r="L830">
        <v>1.3</v>
      </c>
      <c r="M830">
        <v>1</v>
      </c>
      <c r="N830">
        <v>0</v>
      </c>
      <c r="O830" t="s">
        <v>20</v>
      </c>
    </row>
    <row r="831" spans="1:15" x14ac:dyDescent="0.35">
      <c r="A831" t="s">
        <v>15</v>
      </c>
      <c r="B831">
        <v>2021</v>
      </c>
      <c r="C831">
        <v>7</v>
      </c>
      <c r="D831" t="s">
        <v>16</v>
      </c>
      <c r="E831" t="s">
        <v>22</v>
      </c>
      <c r="F831">
        <v>6.28</v>
      </c>
      <c r="G831">
        <v>36.659999999999997</v>
      </c>
      <c r="H831">
        <v>123.65</v>
      </c>
      <c r="I831">
        <v>73.92</v>
      </c>
      <c r="J831">
        <v>2.02</v>
      </c>
      <c r="K831">
        <v>5.94</v>
      </c>
      <c r="L831">
        <v>1.45</v>
      </c>
      <c r="M831">
        <v>0</v>
      </c>
      <c r="N831">
        <v>0</v>
      </c>
      <c r="O831" t="s">
        <v>23</v>
      </c>
    </row>
    <row r="832" spans="1:15" x14ac:dyDescent="0.35">
      <c r="A832" t="s">
        <v>15</v>
      </c>
      <c r="B832">
        <v>2021</v>
      </c>
      <c r="C832">
        <v>29</v>
      </c>
      <c r="D832" t="s">
        <v>16</v>
      </c>
      <c r="E832" t="s">
        <v>17</v>
      </c>
      <c r="F832">
        <v>8.92</v>
      </c>
      <c r="G832">
        <v>44.39</v>
      </c>
      <c r="H832">
        <v>175.29</v>
      </c>
      <c r="I832">
        <v>213.76</v>
      </c>
      <c r="J832">
        <v>4.82</v>
      </c>
      <c r="K832">
        <v>8.89</v>
      </c>
      <c r="L832">
        <v>2.17</v>
      </c>
      <c r="M832">
        <v>1</v>
      </c>
      <c r="N832">
        <v>0</v>
      </c>
      <c r="O832" t="s">
        <v>20</v>
      </c>
    </row>
    <row r="833" spans="1:15" x14ac:dyDescent="0.35">
      <c r="A833" t="s">
        <v>15</v>
      </c>
      <c r="B833">
        <v>2021</v>
      </c>
      <c r="C833">
        <v>44</v>
      </c>
      <c r="D833" t="s">
        <v>16</v>
      </c>
      <c r="E833" t="s">
        <v>17</v>
      </c>
      <c r="F833">
        <v>7.09</v>
      </c>
      <c r="G833">
        <v>55.78</v>
      </c>
      <c r="H833">
        <v>136.03</v>
      </c>
      <c r="I833">
        <v>198.53</v>
      </c>
      <c r="J833">
        <v>3.56</v>
      </c>
      <c r="K833">
        <v>5.39</v>
      </c>
      <c r="L833">
        <v>1.32</v>
      </c>
      <c r="M833">
        <v>1</v>
      </c>
      <c r="N833">
        <v>0</v>
      </c>
      <c r="O833" t="s">
        <v>18</v>
      </c>
    </row>
    <row r="834" spans="1:15" x14ac:dyDescent="0.35">
      <c r="A834" t="s">
        <v>15</v>
      </c>
      <c r="B834">
        <v>2021</v>
      </c>
      <c r="C834">
        <v>60</v>
      </c>
      <c r="D834" t="s">
        <v>16</v>
      </c>
      <c r="E834" t="s">
        <v>19</v>
      </c>
      <c r="F834">
        <v>10.199999999999999</v>
      </c>
      <c r="G834">
        <v>47.99</v>
      </c>
      <c r="H834">
        <v>146.88999999999999</v>
      </c>
      <c r="I834">
        <v>166.84</v>
      </c>
      <c r="J834">
        <v>3.48</v>
      </c>
      <c r="K834">
        <v>7.88</v>
      </c>
      <c r="L834">
        <v>1.93</v>
      </c>
      <c r="M834">
        <v>1</v>
      </c>
      <c r="N834">
        <v>0</v>
      </c>
      <c r="O834" t="s">
        <v>18</v>
      </c>
    </row>
    <row r="835" spans="1:15" x14ac:dyDescent="0.35">
      <c r="A835" t="s">
        <v>15</v>
      </c>
      <c r="B835">
        <v>2021</v>
      </c>
      <c r="C835">
        <v>71</v>
      </c>
      <c r="D835" t="s">
        <v>16</v>
      </c>
      <c r="E835" t="s">
        <v>19</v>
      </c>
      <c r="F835">
        <v>7.65</v>
      </c>
      <c r="G835">
        <v>40.47</v>
      </c>
      <c r="H835">
        <v>143.4</v>
      </c>
      <c r="I835">
        <v>236.36</v>
      </c>
      <c r="J835">
        <v>5.84</v>
      </c>
      <c r="K835">
        <v>6.94</v>
      </c>
      <c r="L835">
        <v>1.7</v>
      </c>
      <c r="M835">
        <v>1</v>
      </c>
      <c r="N835">
        <v>0</v>
      </c>
      <c r="O835" t="s">
        <v>20</v>
      </c>
    </row>
    <row r="836" spans="1:15" x14ac:dyDescent="0.35">
      <c r="A836" t="s">
        <v>15</v>
      </c>
      <c r="B836">
        <v>2021</v>
      </c>
      <c r="C836">
        <v>42</v>
      </c>
      <c r="D836" t="s">
        <v>16</v>
      </c>
      <c r="E836" t="s">
        <v>17</v>
      </c>
      <c r="F836">
        <v>7.77</v>
      </c>
      <c r="G836">
        <v>63.2</v>
      </c>
      <c r="H836">
        <v>129.06</v>
      </c>
      <c r="I836">
        <v>236.38</v>
      </c>
      <c r="J836">
        <v>3.74</v>
      </c>
      <c r="K836">
        <v>5.64</v>
      </c>
      <c r="L836">
        <v>1.38</v>
      </c>
      <c r="M836">
        <v>1</v>
      </c>
      <c r="N836">
        <v>0</v>
      </c>
      <c r="O836" t="s">
        <v>20</v>
      </c>
    </row>
    <row r="837" spans="1:15" x14ac:dyDescent="0.35">
      <c r="A837" t="s">
        <v>15</v>
      </c>
      <c r="B837">
        <v>2021</v>
      </c>
      <c r="C837">
        <v>66</v>
      </c>
      <c r="D837" t="s">
        <v>16</v>
      </c>
      <c r="E837" t="s">
        <v>19</v>
      </c>
      <c r="F837">
        <v>9.2799999999999994</v>
      </c>
      <c r="G837">
        <v>44.37</v>
      </c>
      <c r="H837">
        <v>183.8</v>
      </c>
      <c r="I837">
        <v>244.81</v>
      </c>
      <c r="J837">
        <v>5.52</v>
      </c>
      <c r="K837">
        <v>6.12</v>
      </c>
      <c r="L837">
        <v>1.5</v>
      </c>
      <c r="M837">
        <v>1</v>
      </c>
      <c r="N837">
        <v>0</v>
      </c>
      <c r="O837" t="s">
        <v>20</v>
      </c>
    </row>
    <row r="838" spans="1:15" x14ac:dyDescent="0.35">
      <c r="A838" t="s">
        <v>15</v>
      </c>
      <c r="B838">
        <v>2021</v>
      </c>
      <c r="C838">
        <v>62</v>
      </c>
      <c r="D838" t="s">
        <v>16</v>
      </c>
      <c r="E838" t="s">
        <v>19</v>
      </c>
      <c r="F838">
        <v>8.1999999999999993</v>
      </c>
      <c r="G838">
        <v>44.36</v>
      </c>
      <c r="H838">
        <v>167.87</v>
      </c>
      <c r="I838">
        <v>152.36000000000001</v>
      </c>
      <c r="J838">
        <v>3.43</v>
      </c>
      <c r="K838">
        <v>6.29</v>
      </c>
      <c r="L838">
        <v>1.54</v>
      </c>
      <c r="M838">
        <v>1</v>
      </c>
      <c r="N838">
        <v>0</v>
      </c>
      <c r="O838" t="s">
        <v>20</v>
      </c>
    </row>
    <row r="839" spans="1:15" x14ac:dyDescent="0.35">
      <c r="A839" t="s">
        <v>15</v>
      </c>
      <c r="B839">
        <v>2021</v>
      </c>
      <c r="C839">
        <v>82</v>
      </c>
      <c r="D839" t="s">
        <v>16</v>
      </c>
      <c r="E839" t="s">
        <v>19</v>
      </c>
      <c r="F839">
        <v>10.16</v>
      </c>
      <c r="G839">
        <v>52.78</v>
      </c>
      <c r="H839">
        <v>168.41</v>
      </c>
      <c r="I839">
        <v>172.62</v>
      </c>
      <c r="J839">
        <v>3.27</v>
      </c>
      <c r="K839">
        <v>8.2200000000000006</v>
      </c>
      <c r="L839">
        <v>2.0099999999999998</v>
      </c>
      <c r="M839">
        <v>1</v>
      </c>
      <c r="N839">
        <v>0</v>
      </c>
      <c r="O839" t="s">
        <v>20</v>
      </c>
    </row>
    <row r="840" spans="1:15" x14ac:dyDescent="0.35">
      <c r="A840" t="s">
        <v>15</v>
      </c>
      <c r="B840">
        <v>2021</v>
      </c>
      <c r="C840">
        <v>44</v>
      </c>
      <c r="D840" t="s">
        <v>16</v>
      </c>
      <c r="E840" t="s">
        <v>17</v>
      </c>
      <c r="F840">
        <v>8.7200000000000006</v>
      </c>
      <c r="G840">
        <v>52.23</v>
      </c>
      <c r="H840">
        <v>171.03</v>
      </c>
      <c r="I840">
        <v>162.53</v>
      </c>
      <c r="J840">
        <v>3.11</v>
      </c>
      <c r="K840">
        <v>7.12</v>
      </c>
      <c r="L840">
        <v>1.74</v>
      </c>
      <c r="M840">
        <v>1</v>
      </c>
      <c r="N840">
        <v>0</v>
      </c>
      <c r="O840" t="s">
        <v>20</v>
      </c>
    </row>
    <row r="841" spans="1:15" x14ac:dyDescent="0.35">
      <c r="A841" t="s">
        <v>15</v>
      </c>
      <c r="B841">
        <v>2021</v>
      </c>
      <c r="C841">
        <v>30</v>
      </c>
      <c r="D841" t="s">
        <v>16</v>
      </c>
      <c r="E841" t="s">
        <v>17</v>
      </c>
      <c r="F841">
        <v>8.0399999999999991</v>
      </c>
      <c r="G841">
        <v>51.21</v>
      </c>
      <c r="H841">
        <v>179.76</v>
      </c>
      <c r="I841">
        <v>197.01</v>
      </c>
      <c r="J841">
        <v>3.85</v>
      </c>
      <c r="K841">
        <v>4.3600000000000003</v>
      </c>
      <c r="L841">
        <v>1.06</v>
      </c>
      <c r="M841">
        <v>1</v>
      </c>
      <c r="N841">
        <v>0</v>
      </c>
      <c r="O841" t="s">
        <v>20</v>
      </c>
    </row>
    <row r="842" spans="1:15" x14ac:dyDescent="0.35">
      <c r="A842" t="s">
        <v>15</v>
      </c>
      <c r="B842">
        <v>2021</v>
      </c>
      <c r="C842">
        <v>68</v>
      </c>
      <c r="D842" t="s">
        <v>16</v>
      </c>
      <c r="E842" t="s">
        <v>19</v>
      </c>
      <c r="F842">
        <v>8.8699999999999992</v>
      </c>
      <c r="G842">
        <v>48.72</v>
      </c>
      <c r="H842">
        <v>142.31</v>
      </c>
      <c r="I842">
        <v>268.10000000000002</v>
      </c>
      <c r="J842">
        <v>5.5</v>
      </c>
      <c r="K842">
        <v>10.06</v>
      </c>
      <c r="L842">
        <v>2.46</v>
      </c>
      <c r="M842">
        <v>1</v>
      </c>
      <c r="N842">
        <v>0</v>
      </c>
      <c r="O842" t="s">
        <v>20</v>
      </c>
    </row>
    <row r="843" spans="1:15" x14ac:dyDescent="0.35">
      <c r="A843" t="s">
        <v>15</v>
      </c>
      <c r="B843">
        <v>2021</v>
      </c>
      <c r="C843">
        <v>18</v>
      </c>
      <c r="D843" t="s">
        <v>16</v>
      </c>
      <c r="E843" t="s">
        <v>24</v>
      </c>
      <c r="F843">
        <v>7.32</v>
      </c>
      <c r="G843">
        <v>25.62</v>
      </c>
      <c r="H843">
        <v>157.88999999999999</v>
      </c>
      <c r="I843">
        <v>182.95</v>
      </c>
      <c r="J843">
        <v>7.14</v>
      </c>
      <c r="K843">
        <v>7.09</v>
      </c>
      <c r="L843">
        <v>1.73</v>
      </c>
      <c r="M843">
        <v>1</v>
      </c>
      <c r="N843">
        <v>0</v>
      </c>
      <c r="O843" t="s">
        <v>18</v>
      </c>
    </row>
    <row r="844" spans="1:15" x14ac:dyDescent="0.35">
      <c r="A844" t="s">
        <v>15</v>
      </c>
      <c r="B844">
        <v>2021</v>
      </c>
      <c r="C844">
        <v>15</v>
      </c>
      <c r="D844" t="s">
        <v>16</v>
      </c>
      <c r="E844" t="s">
        <v>24</v>
      </c>
      <c r="F844">
        <v>7.43</v>
      </c>
      <c r="G844">
        <v>45.21</v>
      </c>
      <c r="H844">
        <v>127.44</v>
      </c>
      <c r="I844">
        <v>167.73</v>
      </c>
      <c r="J844">
        <v>3.71</v>
      </c>
      <c r="K844">
        <v>5.21</v>
      </c>
      <c r="L844">
        <v>1.27</v>
      </c>
      <c r="M844">
        <v>1</v>
      </c>
      <c r="N844">
        <v>0</v>
      </c>
      <c r="O844" t="s">
        <v>23</v>
      </c>
    </row>
    <row r="845" spans="1:15" x14ac:dyDescent="0.35">
      <c r="A845" t="s">
        <v>15</v>
      </c>
      <c r="B845">
        <v>2021</v>
      </c>
      <c r="C845">
        <v>4</v>
      </c>
      <c r="D845" t="s">
        <v>16</v>
      </c>
      <c r="E845" t="s">
        <v>22</v>
      </c>
      <c r="F845">
        <v>7.94</v>
      </c>
      <c r="G845">
        <v>45.05</v>
      </c>
      <c r="H845">
        <v>116.61</v>
      </c>
      <c r="I845">
        <v>140.63</v>
      </c>
      <c r="J845">
        <v>3.12</v>
      </c>
      <c r="K845">
        <v>5.52</v>
      </c>
      <c r="L845">
        <v>1.35</v>
      </c>
      <c r="M845">
        <v>1</v>
      </c>
      <c r="N845">
        <v>0</v>
      </c>
      <c r="O845" t="s">
        <v>23</v>
      </c>
    </row>
    <row r="846" spans="1:15" x14ac:dyDescent="0.35">
      <c r="A846" t="s">
        <v>15</v>
      </c>
      <c r="B846">
        <v>2021</v>
      </c>
      <c r="C846">
        <v>21</v>
      </c>
      <c r="D846" t="s">
        <v>16</v>
      </c>
      <c r="E846" t="s">
        <v>17</v>
      </c>
      <c r="F846">
        <v>8.5299999999999994</v>
      </c>
      <c r="G846">
        <v>60.25</v>
      </c>
      <c r="H846">
        <v>153.08000000000001</v>
      </c>
      <c r="I846">
        <v>268.79000000000002</v>
      </c>
      <c r="J846">
        <v>4.46</v>
      </c>
      <c r="K846">
        <v>5.39</v>
      </c>
      <c r="L846">
        <v>1.32</v>
      </c>
      <c r="M846">
        <v>1</v>
      </c>
      <c r="N846">
        <v>0</v>
      </c>
      <c r="O846" t="s">
        <v>20</v>
      </c>
    </row>
    <row r="847" spans="1:15" x14ac:dyDescent="0.35">
      <c r="A847" t="s">
        <v>15</v>
      </c>
      <c r="B847">
        <v>2021</v>
      </c>
      <c r="C847">
        <v>7</v>
      </c>
      <c r="D847" t="s">
        <v>16</v>
      </c>
      <c r="E847" t="s">
        <v>22</v>
      </c>
      <c r="F847">
        <v>5.09</v>
      </c>
      <c r="G847">
        <v>66.8</v>
      </c>
      <c r="H847">
        <v>160.66999999999999</v>
      </c>
      <c r="I847">
        <v>212.24</v>
      </c>
      <c r="J847">
        <v>3.18</v>
      </c>
      <c r="K847">
        <v>6.97</v>
      </c>
      <c r="L847">
        <v>1.7</v>
      </c>
      <c r="M847">
        <v>0</v>
      </c>
      <c r="N847">
        <v>0</v>
      </c>
      <c r="O847" t="s">
        <v>20</v>
      </c>
    </row>
    <row r="848" spans="1:15" x14ac:dyDescent="0.35">
      <c r="A848" t="s">
        <v>15</v>
      </c>
      <c r="B848">
        <v>2021</v>
      </c>
      <c r="C848">
        <v>68</v>
      </c>
      <c r="D848" t="s">
        <v>16</v>
      </c>
      <c r="E848" t="s">
        <v>19</v>
      </c>
      <c r="F848">
        <v>10.16</v>
      </c>
      <c r="G848">
        <v>40.03</v>
      </c>
      <c r="H848">
        <v>157.88</v>
      </c>
      <c r="I848">
        <v>245.21</v>
      </c>
      <c r="J848">
        <v>6.13</v>
      </c>
      <c r="K848">
        <v>14.28</v>
      </c>
      <c r="L848">
        <v>3.49</v>
      </c>
      <c r="M848">
        <v>1</v>
      </c>
      <c r="N848">
        <v>1</v>
      </c>
      <c r="O848" t="s">
        <v>20</v>
      </c>
    </row>
    <row r="849" spans="1:15" x14ac:dyDescent="0.35">
      <c r="A849" t="s">
        <v>15</v>
      </c>
      <c r="B849">
        <v>2021</v>
      </c>
      <c r="C849">
        <v>77</v>
      </c>
      <c r="D849" t="s">
        <v>21</v>
      </c>
      <c r="E849" t="s">
        <v>19</v>
      </c>
      <c r="F849">
        <v>8.64</v>
      </c>
      <c r="G849">
        <v>57.25</v>
      </c>
      <c r="H849">
        <v>181.86</v>
      </c>
      <c r="I849">
        <v>289.01</v>
      </c>
      <c r="J849">
        <v>5.05</v>
      </c>
      <c r="K849">
        <v>4.41</v>
      </c>
      <c r="L849">
        <v>1.08</v>
      </c>
      <c r="M849">
        <v>1</v>
      </c>
      <c r="N849">
        <v>0</v>
      </c>
      <c r="O849" t="s">
        <v>20</v>
      </c>
    </row>
    <row r="850" spans="1:15" x14ac:dyDescent="0.35">
      <c r="A850" t="s">
        <v>15</v>
      </c>
      <c r="B850">
        <v>2021</v>
      </c>
      <c r="C850">
        <v>60</v>
      </c>
      <c r="D850" t="s">
        <v>21</v>
      </c>
      <c r="E850" t="s">
        <v>19</v>
      </c>
      <c r="F850">
        <v>7.22</v>
      </c>
      <c r="G850">
        <v>43.39</v>
      </c>
      <c r="H850">
        <v>179.53</v>
      </c>
      <c r="I850">
        <v>133.24</v>
      </c>
      <c r="J850">
        <v>3.07</v>
      </c>
      <c r="K850">
        <v>3.61</v>
      </c>
      <c r="L850">
        <v>0.88</v>
      </c>
      <c r="M850">
        <v>1</v>
      </c>
      <c r="N850">
        <v>0</v>
      </c>
      <c r="O850" t="s">
        <v>20</v>
      </c>
    </row>
    <row r="851" spans="1:15" x14ac:dyDescent="0.35">
      <c r="A851" t="s">
        <v>15</v>
      </c>
      <c r="B851">
        <v>2021</v>
      </c>
      <c r="C851">
        <v>57</v>
      </c>
      <c r="D851" t="s">
        <v>16</v>
      </c>
      <c r="E851" t="s">
        <v>17</v>
      </c>
      <c r="F851">
        <v>7.85</v>
      </c>
      <c r="G851">
        <v>61.12</v>
      </c>
      <c r="H851">
        <v>148.63</v>
      </c>
      <c r="I851">
        <v>116.6</v>
      </c>
      <c r="J851">
        <v>1.91</v>
      </c>
      <c r="K851">
        <v>15.85</v>
      </c>
      <c r="L851">
        <v>3.87</v>
      </c>
      <c r="M851">
        <v>1</v>
      </c>
      <c r="N851">
        <v>1</v>
      </c>
      <c r="O851" t="s">
        <v>18</v>
      </c>
    </row>
    <row r="852" spans="1:15" x14ac:dyDescent="0.35">
      <c r="A852" t="s">
        <v>15</v>
      </c>
      <c r="B852">
        <v>2022</v>
      </c>
      <c r="C852">
        <v>23</v>
      </c>
      <c r="D852" t="s">
        <v>16</v>
      </c>
      <c r="E852" t="s">
        <v>17</v>
      </c>
      <c r="F852">
        <v>6.58</v>
      </c>
      <c r="G852">
        <v>46.55</v>
      </c>
      <c r="H852">
        <v>137.31</v>
      </c>
      <c r="I852">
        <v>245.01</v>
      </c>
      <c r="J852">
        <v>5.26</v>
      </c>
      <c r="K852">
        <v>10.25</v>
      </c>
      <c r="L852">
        <v>2.5099999999999998</v>
      </c>
      <c r="M852">
        <v>1</v>
      </c>
      <c r="N852">
        <v>1</v>
      </c>
      <c r="O852" t="s">
        <v>20</v>
      </c>
    </row>
    <row r="853" spans="1:15" x14ac:dyDescent="0.35">
      <c r="A853" t="s">
        <v>15</v>
      </c>
      <c r="B853">
        <v>2022</v>
      </c>
      <c r="C853">
        <v>26</v>
      </c>
      <c r="D853" t="s">
        <v>16</v>
      </c>
      <c r="E853" t="s">
        <v>17</v>
      </c>
      <c r="F853">
        <v>5.75</v>
      </c>
      <c r="G853">
        <v>39.119999999999997</v>
      </c>
      <c r="H853">
        <v>156.58000000000001</v>
      </c>
      <c r="I853">
        <v>194.29</v>
      </c>
      <c r="J853">
        <v>4.97</v>
      </c>
      <c r="K853">
        <v>10.38</v>
      </c>
      <c r="L853">
        <v>2.54</v>
      </c>
      <c r="M853">
        <v>0</v>
      </c>
      <c r="N853">
        <v>1</v>
      </c>
      <c r="O853" t="s">
        <v>18</v>
      </c>
    </row>
    <row r="854" spans="1:15" x14ac:dyDescent="0.35">
      <c r="A854" t="s">
        <v>15</v>
      </c>
      <c r="B854">
        <v>2022</v>
      </c>
      <c r="C854">
        <v>53</v>
      </c>
      <c r="D854" t="s">
        <v>21</v>
      </c>
      <c r="E854" t="s">
        <v>17</v>
      </c>
      <c r="F854">
        <v>9.3800000000000008</v>
      </c>
      <c r="G854">
        <v>46.87</v>
      </c>
      <c r="H854">
        <v>173.33</v>
      </c>
      <c r="I854">
        <v>248.16</v>
      </c>
      <c r="J854">
        <v>5.29</v>
      </c>
      <c r="K854">
        <v>12.1</v>
      </c>
      <c r="L854">
        <v>2.96</v>
      </c>
      <c r="M854">
        <v>1</v>
      </c>
      <c r="N854">
        <v>1</v>
      </c>
      <c r="O854" t="s">
        <v>20</v>
      </c>
    </row>
    <row r="855" spans="1:15" x14ac:dyDescent="0.35">
      <c r="A855" t="s">
        <v>15</v>
      </c>
      <c r="B855">
        <v>2022</v>
      </c>
      <c r="C855">
        <v>67</v>
      </c>
      <c r="D855" t="s">
        <v>16</v>
      </c>
      <c r="E855" t="s">
        <v>19</v>
      </c>
      <c r="F855">
        <v>7.85</v>
      </c>
      <c r="G855">
        <v>59.34</v>
      </c>
      <c r="H855">
        <v>147.78</v>
      </c>
      <c r="I855">
        <v>296.51</v>
      </c>
      <c r="J855">
        <v>5</v>
      </c>
      <c r="K855">
        <v>10.61</v>
      </c>
      <c r="L855">
        <v>2.59</v>
      </c>
      <c r="M855">
        <v>1</v>
      </c>
      <c r="N855">
        <v>1</v>
      </c>
      <c r="O855" t="s">
        <v>20</v>
      </c>
    </row>
    <row r="856" spans="1:15" x14ac:dyDescent="0.35">
      <c r="A856" t="s">
        <v>15</v>
      </c>
      <c r="B856">
        <v>2022</v>
      </c>
      <c r="C856">
        <v>63</v>
      </c>
      <c r="D856" t="s">
        <v>21</v>
      </c>
      <c r="E856" t="s">
        <v>19</v>
      </c>
      <c r="F856">
        <v>7.93</v>
      </c>
      <c r="G856">
        <v>45.79</v>
      </c>
      <c r="H856">
        <v>150.94</v>
      </c>
      <c r="I856">
        <v>147.83000000000001</v>
      </c>
      <c r="J856">
        <v>3.23</v>
      </c>
      <c r="K856">
        <v>15.79</v>
      </c>
      <c r="L856">
        <v>3.86</v>
      </c>
      <c r="M856">
        <v>1</v>
      </c>
      <c r="N856">
        <v>1</v>
      </c>
      <c r="O856" t="s">
        <v>18</v>
      </c>
    </row>
    <row r="857" spans="1:15" x14ac:dyDescent="0.35">
      <c r="A857" t="s">
        <v>15</v>
      </c>
      <c r="B857">
        <v>2022</v>
      </c>
      <c r="C857">
        <v>5</v>
      </c>
      <c r="D857" t="s">
        <v>21</v>
      </c>
      <c r="E857" t="s">
        <v>22</v>
      </c>
      <c r="F857">
        <v>6.74</v>
      </c>
      <c r="G857">
        <v>52.51</v>
      </c>
      <c r="H857">
        <v>128.94999999999999</v>
      </c>
      <c r="I857">
        <v>192.05</v>
      </c>
      <c r="J857">
        <v>3.66</v>
      </c>
      <c r="K857">
        <v>9.58</v>
      </c>
      <c r="L857">
        <v>2.34</v>
      </c>
      <c r="M857">
        <v>1</v>
      </c>
      <c r="N857">
        <v>0</v>
      </c>
      <c r="O857" t="s">
        <v>23</v>
      </c>
    </row>
    <row r="858" spans="1:15" x14ac:dyDescent="0.35">
      <c r="A858" t="s">
        <v>15</v>
      </c>
      <c r="B858">
        <v>2022</v>
      </c>
      <c r="C858">
        <v>81</v>
      </c>
      <c r="D858" t="s">
        <v>16</v>
      </c>
      <c r="E858" t="s">
        <v>19</v>
      </c>
      <c r="F858">
        <v>6.33</v>
      </c>
      <c r="G858">
        <v>42.89</v>
      </c>
      <c r="H858">
        <v>184.14</v>
      </c>
      <c r="I858">
        <v>185.91</v>
      </c>
      <c r="J858">
        <v>4.33</v>
      </c>
      <c r="K858">
        <v>11.08</v>
      </c>
      <c r="L858">
        <v>2.71</v>
      </c>
      <c r="M858">
        <v>0</v>
      </c>
      <c r="N858">
        <v>1</v>
      </c>
      <c r="O858" t="s">
        <v>20</v>
      </c>
    </row>
    <row r="859" spans="1:15" x14ac:dyDescent="0.35">
      <c r="A859" t="s">
        <v>15</v>
      </c>
      <c r="B859">
        <v>2022</v>
      </c>
      <c r="C859">
        <v>57</v>
      </c>
      <c r="D859" t="s">
        <v>16</v>
      </c>
      <c r="E859" t="s">
        <v>17</v>
      </c>
      <c r="F859">
        <v>8.74</v>
      </c>
      <c r="G859">
        <v>54.08</v>
      </c>
      <c r="H859">
        <v>182.29</v>
      </c>
      <c r="I859">
        <v>177.13</v>
      </c>
      <c r="J859">
        <v>3.28</v>
      </c>
      <c r="K859">
        <v>11.18</v>
      </c>
      <c r="L859">
        <v>2.73</v>
      </c>
      <c r="M859">
        <v>1</v>
      </c>
      <c r="N859">
        <v>1</v>
      </c>
      <c r="O859" t="s">
        <v>20</v>
      </c>
    </row>
    <row r="860" spans="1:15" x14ac:dyDescent="0.35">
      <c r="A860" t="s">
        <v>15</v>
      </c>
      <c r="B860">
        <v>2022</v>
      </c>
      <c r="C860">
        <v>14</v>
      </c>
      <c r="D860" t="s">
        <v>21</v>
      </c>
      <c r="E860" t="s">
        <v>24</v>
      </c>
      <c r="F860">
        <v>7.75</v>
      </c>
      <c r="G860">
        <v>57.25</v>
      </c>
      <c r="H860">
        <v>117.25</v>
      </c>
      <c r="I860">
        <v>157.19999999999999</v>
      </c>
      <c r="J860">
        <v>2.75</v>
      </c>
      <c r="K860">
        <v>8.5299999999999994</v>
      </c>
      <c r="L860">
        <v>2.08</v>
      </c>
      <c r="M860">
        <v>1</v>
      </c>
      <c r="N860">
        <v>0</v>
      </c>
      <c r="O860" t="s">
        <v>23</v>
      </c>
    </row>
    <row r="861" spans="1:15" x14ac:dyDescent="0.35">
      <c r="A861" t="s">
        <v>15</v>
      </c>
      <c r="B861">
        <v>2022</v>
      </c>
      <c r="C861">
        <v>56</v>
      </c>
      <c r="D861" t="s">
        <v>21</v>
      </c>
      <c r="E861" t="s">
        <v>17</v>
      </c>
      <c r="F861">
        <v>7.33</v>
      </c>
      <c r="G861">
        <v>62.23</v>
      </c>
      <c r="H861">
        <v>204.13</v>
      </c>
      <c r="I861">
        <v>207.76</v>
      </c>
      <c r="J861">
        <v>3.34</v>
      </c>
      <c r="K861">
        <v>7.89</v>
      </c>
      <c r="L861">
        <v>1.93</v>
      </c>
      <c r="M861">
        <v>1</v>
      </c>
      <c r="N861">
        <v>0</v>
      </c>
      <c r="O861" t="s">
        <v>20</v>
      </c>
    </row>
    <row r="862" spans="1:15" x14ac:dyDescent="0.35">
      <c r="A862" t="s">
        <v>15</v>
      </c>
      <c r="B862">
        <v>2022</v>
      </c>
      <c r="C862">
        <v>48</v>
      </c>
      <c r="D862" t="s">
        <v>16</v>
      </c>
      <c r="E862" t="s">
        <v>17</v>
      </c>
      <c r="F862">
        <v>7.7</v>
      </c>
      <c r="G862">
        <v>39.89</v>
      </c>
      <c r="H862">
        <v>138.78</v>
      </c>
      <c r="I862">
        <v>164.23</v>
      </c>
      <c r="J862">
        <v>4.12</v>
      </c>
      <c r="K862">
        <v>11.86</v>
      </c>
      <c r="L862">
        <v>2.9</v>
      </c>
      <c r="M862">
        <v>1</v>
      </c>
      <c r="N862">
        <v>1</v>
      </c>
      <c r="O862" t="s">
        <v>18</v>
      </c>
    </row>
    <row r="863" spans="1:15" x14ac:dyDescent="0.35">
      <c r="A863" t="s">
        <v>15</v>
      </c>
      <c r="B863">
        <v>2022</v>
      </c>
      <c r="C863">
        <v>54</v>
      </c>
      <c r="D863" t="s">
        <v>21</v>
      </c>
      <c r="E863" t="s">
        <v>17</v>
      </c>
      <c r="F863">
        <v>7.79</v>
      </c>
      <c r="G863">
        <v>34.97</v>
      </c>
      <c r="H863">
        <v>145.99</v>
      </c>
      <c r="I863">
        <v>247.62</v>
      </c>
      <c r="J863">
        <v>7.08</v>
      </c>
      <c r="K863">
        <v>7.7</v>
      </c>
      <c r="L863">
        <v>1.88</v>
      </c>
      <c r="M863">
        <v>1</v>
      </c>
      <c r="N863">
        <v>0</v>
      </c>
      <c r="O863" t="s">
        <v>20</v>
      </c>
    </row>
    <row r="864" spans="1:15" x14ac:dyDescent="0.35">
      <c r="A864" t="s">
        <v>15</v>
      </c>
      <c r="B864">
        <v>2022</v>
      </c>
      <c r="C864">
        <v>58</v>
      </c>
      <c r="D864" t="s">
        <v>16</v>
      </c>
      <c r="E864" t="s">
        <v>17</v>
      </c>
      <c r="F864">
        <v>8.35</v>
      </c>
      <c r="G864">
        <v>41.64</v>
      </c>
      <c r="H864">
        <v>188.43</v>
      </c>
      <c r="I864">
        <v>181.2</v>
      </c>
      <c r="J864">
        <v>4.3499999999999996</v>
      </c>
      <c r="K864">
        <v>11.89</v>
      </c>
      <c r="L864">
        <v>2.91</v>
      </c>
      <c r="M864">
        <v>1</v>
      </c>
      <c r="N864">
        <v>1</v>
      </c>
      <c r="O864" t="s">
        <v>20</v>
      </c>
    </row>
    <row r="865" spans="1:15" x14ac:dyDescent="0.35">
      <c r="A865" t="s">
        <v>15</v>
      </c>
      <c r="B865">
        <v>2022</v>
      </c>
      <c r="C865">
        <v>16</v>
      </c>
      <c r="D865" t="s">
        <v>21</v>
      </c>
      <c r="E865" t="s">
        <v>24</v>
      </c>
      <c r="F865">
        <v>9.19</v>
      </c>
      <c r="G865">
        <v>47.13</v>
      </c>
      <c r="H865">
        <v>172.18</v>
      </c>
      <c r="I865">
        <v>282.95</v>
      </c>
      <c r="J865">
        <v>6</v>
      </c>
      <c r="K865">
        <v>7.45</v>
      </c>
      <c r="L865">
        <v>1.82</v>
      </c>
      <c r="M865">
        <v>1</v>
      </c>
      <c r="N865">
        <v>0</v>
      </c>
      <c r="O865" t="s">
        <v>20</v>
      </c>
    </row>
    <row r="866" spans="1:15" x14ac:dyDescent="0.35">
      <c r="A866" t="s">
        <v>15</v>
      </c>
      <c r="B866">
        <v>2022</v>
      </c>
      <c r="C866">
        <v>4</v>
      </c>
      <c r="D866" t="s">
        <v>21</v>
      </c>
      <c r="E866" t="s">
        <v>22</v>
      </c>
      <c r="F866">
        <v>8.0500000000000007</v>
      </c>
      <c r="G866">
        <v>59.14</v>
      </c>
      <c r="H866">
        <v>203.97</v>
      </c>
      <c r="I866">
        <v>165.2</v>
      </c>
      <c r="J866">
        <v>2.79</v>
      </c>
      <c r="K866">
        <v>7.35</v>
      </c>
      <c r="L866">
        <v>1.8</v>
      </c>
      <c r="M866">
        <v>1</v>
      </c>
      <c r="N866">
        <v>0</v>
      </c>
      <c r="O866" t="s">
        <v>20</v>
      </c>
    </row>
    <row r="867" spans="1:15" x14ac:dyDescent="0.35">
      <c r="A867" t="s">
        <v>15</v>
      </c>
      <c r="B867">
        <v>2022</v>
      </c>
      <c r="C867">
        <v>34</v>
      </c>
      <c r="D867" t="s">
        <v>21</v>
      </c>
      <c r="E867" t="s">
        <v>17</v>
      </c>
      <c r="F867">
        <v>7.01</v>
      </c>
      <c r="G867">
        <v>39.4</v>
      </c>
      <c r="H867">
        <v>121</v>
      </c>
      <c r="I867">
        <v>149.05000000000001</v>
      </c>
      <c r="J867">
        <v>3.78</v>
      </c>
      <c r="K867">
        <v>7.24</v>
      </c>
      <c r="L867">
        <v>1.77</v>
      </c>
      <c r="M867">
        <v>1</v>
      </c>
      <c r="N867">
        <v>0</v>
      </c>
      <c r="O867" t="s">
        <v>23</v>
      </c>
    </row>
    <row r="868" spans="1:15" x14ac:dyDescent="0.35">
      <c r="A868" t="s">
        <v>15</v>
      </c>
      <c r="B868">
        <v>2022</v>
      </c>
      <c r="C868">
        <v>76</v>
      </c>
      <c r="D868" t="s">
        <v>21</v>
      </c>
      <c r="E868" t="s">
        <v>19</v>
      </c>
      <c r="F868">
        <v>9.11</v>
      </c>
      <c r="G868">
        <v>46.49</v>
      </c>
      <c r="H868">
        <v>175.75</v>
      </c>
      <c r="I868">
        <v>193.83</v>
      </c>
      <c r="J868">
        <v>4.17</v>
      </c>
      <c r="K868">
        <v>7.02</v>
      </c>
      <c r="L868">
        <v>1.72</v>
      </c>
      <c r="M868">
        <v>1</v>
      </c>
      <c r="N868">
        <v>0</v>
      </c>
      <c r="O868" t="s">
        <v>20</v>
      </c>
    </row>
    <row r="869" spans="1:15" x14ac:dyDescent="0.35">
      <c r="A869" t="s">
        <v>15</v>
      </c>
      <c r="B869">
        <v>2022</v>
      </c>
      <c r="C869">
        <v>32</v>
      </c>
      <c r="D869" t="s">
        <v>16</v>
      </c>
      <c r="E869" t="s">
        <v>17</v>
      </c>
      <c r="F869">
        <v>8.86</v>
      </c>
      <c r="G869">
        <v>43.08</v>
      </c>
      <c r="H869">
        <v>111.62</v>
      </c>
      <c r="I869">
        <v>209.92</v>
      </c>
      <c r="J869">
        <v>4.87</v>
      </c>
      <c r="K869">
        <v>12.64</v>
      </c>
      <c r="L869">
        <v>3.09</v>
      </c>
      <c r="M869">
        <v>1</v>
      </c>
      <c r="N869">
        <v>1</v>
      </c>
      <c r="O869" t="s">
        <v>20</v>
      </c>
    </row>
    <row r="870" spans="1:15" x14ac:dyDescent="0.35">
      <c r="A870" t="s">
        <v>15</v>
      </c>
      <c r="B870">
        <v>2022</v>
      </c>
      <c r="C870">
        <v>51</v>
      </c>
      <c r="D870" t="s">
        <v>16</v>
      </c>
      <c r="E870" t="s">
        <v>17</v>
      </c>
      <c r="F870">
        <v>7.23</v>
      </c>
      <c r="G870">
        <v>43.14</v>
      </c>
      <c r="H870">
        <v>160.51</v>
      </c>
      <c r="I870">
        <v>215.93</v>
      </c>
      <c r="J870">
        <v>5.01</v>
      </c>
      <c r="K870">
        <v>12.72</v>
      </c>
      <c r="L870">
        <v>3.11</v>
      </c>
      <c r="M870">
        <v>1</v>
      </c>
      <c r="N870">
        <v>1</v>
      </c>
      <c r="O870" t="s">
        <v>20</v>
      </c>
    </row>
    <row r="871" spans="1:15" x14ac:dyDescent="0.35">
      <c r="A871" t="s">
        <v>15</v>
      </c>
      <c r="B871">
        <v>2022</v>
      </c>
      <c r="C871">
        <v>23</v>
      </c>
      <c r="D871" t="s">
        <v>21</v>
      </c>
      <c r="E871" t="s">
        <v>17</v>
      </c>
      <c r="F871">
        <v>8.3000000000000007</v>
      </c>
      <c r="G871">
        <v>35.020000000000003</v>
      </c>
      <c r="H871">
        <v>134.85</v>
      </c>
      <c r="I871">
        <v>290.36</v>
      </c>
      <c r="J871">
        <v>8.2899999999999991</v>
      </c>
      <c r="K871">
        <v>5.86</v>
      </c>
      <c r="L871">
        <v>1.43</v>
      </c>
      <c r="M871">
        <v>1</v>
      </c>
      <c r="N871">
        <v>0</v>
      </c>
      <c r="O871" t="s">
        <v>20</v>
      </c>
    </row>
    <row r="872" spans="1:15" x14ac:dyDescent="0.35">
      <c r="A872" t="s">
        <v>15</v>
      </c>
      <c r="B872">
        <v>2022</v>
      </c>
      <c r="C872">
        <v>31</v>
      </c>
      <c r="D872" t="s">
        <v>21</v>
      </c>
      <c r="E872" t="s">
        <v>17</v>
      </c>
      <c r="F872">
        <v>6.34</v>
      </c>
      <c r="G872">
        <v>55.73</v>
      </c>
      <c r="H872">
        <v>197.24</v>
      </c>
      <c r="I872">
        <v>146.35</v>
      </c>
      <c r="J872">
        <v>2.63</v>
      </c>
      <c r="K872">
        <v>5.78</v>
      </c>
      <c r="L872">
        <v>1.41</v>
      </c>
      <c r="M872">
        <v>0</v>
      </c>
      <c r="N872">
        <v>0</v>
      </c>
      <c r="O872" t="s">
        <v>20</v>
      </c>
    </row>
    <row r="873" spans="1:15" x14ac:dyDescent="0.35">
      <c r="A873" t="s">
        <v>15</v>
      </c>
      <c r="B873">
        <v>2022</v>
      </c>
      <c r="C873">
        <v>73</v>
      </c>
      <c r="D873" t="s">
        <v>21</v>
      </c>
      <c r="E873" t="s">
        <v>19</v>
      </c>
      <c r="F873">
        <v>8</v>
      </c>
      <c r="G873">
        <v>42.77</v>
      </c>
      <c r="H873">
        <v>180.77</v>
      </c>
      <c r="I873">
        <v>317.98</v>
      </c>
      <c r="J873">
        <v>7.43</v>
      </c>
      <c r="K873">
        <v>5.62</v>
      </c>
      <c r="L873">
        <v>1.37</v>
      </c>
      <c r="M873">
        <v>1</v>
      </c>
      <c r="N873">
        <v>0</v>
      </c>
      <c r="O873" t="s">
        <v>20</v>
      </c>
    </row>
    <row r="874" spans="1:15" x14ac:dyDescent="0.35">
      <c r="A874" t="s">
        <v>15</v>
      </c>
      <c r="B874">
        <v>2022</v>
      </c>
      <c r="C874">
        <v>44</v>
      </c>
      <c r="D874" t="s">
        <v>21</v>
      </c>
      <c r="E874" t="s">
        <v>17</v>
      </c>
      <c r="F874">
        <v>8.01</v>
      </c>
      <c r="G874">
        <v>42.74</v>
      </c>
      <c r="H874">
        <v>148.91999999999999</v>
      </c>
      <c r="I874">
        <v>100.08</v>
      </c>
      <c r="J874">
        <v>2.34</v>
      </c>
      <c r="K874">
        <v>5.56</v>
      </c>
      <c r="L874">
        <v>1.36</v>
      </c>
      <c r="M874">
        <v>1</v>
      </c>
      <c r="N874">
        <v>0</v>
      </c>
      <c r="O874" t="s">
        <v>18</v>
      </c>
    </row>
    <row r="875" spans="1:15" x14ac:dyDescent="0.35">
      <c r="A875" t="s">
        <v>15</v>
      </c>
      <c r="B875">
        <v>2022</v>
      </c>
      <c r="C875">
        <v>6</v>
      </c>
      <c r="D875" t="s">
        <v>21</v>
      </c>
      <c r="E875" t="s">
        <v>22</v>
      </c>
      <c r="F875">
        <v>7.52</v>
      </c>
      <c r="G875">
        <v>50.67</v>
      </c>
      <c r="H875">
        <v>155.21</v>
      </c>
      <c r="I875">
        <v>76.39</v>
      </c>
      <c r="J875">
        <v>1.51</v>
      </c>
      <c r="K875">
        <v>5.12</v>
      </c>
      <c r="L875">
        <v>1.25</v>
      </c>
      <c r="M875">
        <v>1</v>
      </c>
      <c r="N875">
        <v>0</v>
      </c>
      <c r="O875" t="s">
        <v>18</v>
      </c>
    </row>
    <row r="876" spans="1:15" x14ac:dyDescent="0.35">
      <c r="A876" t="s">
        <v>15</v>
      </c>
      <c r="B876">
        <v>2022</v>
      </c>
      <c r="C876">
        <v>56</v>
      </c>
      <c r="D876" t="s">
        <v>16</v>
      </c>
      <c r="E876" t="s">
        <v>17</v>
      </c>
      <c r="F876">
        <v>8.25</v>
      </c>
      <c r="G876">
        <v>44.72</v>
      </c>
      <c r="H876">
        <v>113.9</v>
      </c>
      <c r="I876">
        <v>220.23</v>
      </c>
      <c r="J876">
        <v>4.92</v>
      </c>
      <c r="K876">
        <v>13.43</v>
      </c>
      <c r="L876">
        <v>3.28</v>
      </c>
      <c r="M876">
        <v>1</v>
      </c>
      <c r="N876">
        <v>1</v>
      </c>
      <c r="O876" t="s">
        <v>20</v>
      </c>
    </row>
    <row r="877" spans="1:15" x14ac:dyDescent="0.35">
      <c r="A877" t="s">
        <v>15</v>
      </c>
      <c r="B877">
        <v>2022</v>
      </c>
      <c r="C877">
        <v>80</v>
      </c>
      <c r="D877" t="s">
        <v>21</v>
      </c>
      <c r="E877" t="s">
        <v>19</v>
      </c>
      <c r="F877">
        <v>8.3699999999999992</v>
      </c>
      <c r="G877">
        <v>56.09</v>
      </c>
      <c r="H877">
        <v>126.72</v>
      </c>
      <c r="I877">
        <v>221.92</v>
      </c>
      <c r="J877">
        <v>3.96</v>
      </c>
      <c r="K877">
        <v>4.9800000000000004</v>
      </c>
      <c r="L877">
        <v>1.22</v>
      </c>
      <c r="M877">
        <v>1</v>
      </c>
      <c r="N877">
        <v>0</v>
      </c>
      <c r="O877" t="s">
        <v>20</v>
      </c>
    </row>
    <row r="878" spans="1:15" x14ac:dyDescent="0.35">
      <c r="A878" t="s">
        <v>15</v>
      </c>
      <c r="B878">
        <v>2022</v>
      </c>
      <c r="C878">
        <v>3</v>
      </c>
      <c r="D878" t="s">
        <v>21</v>
      </c>
      <c r="E878" t="s">
        <v>22</v>
      </c>
      <c r="F878">
        <v>6.93</v>
      </c>
      <c r="G878">
        <v>67.680000000000007</v>
      </c>
      <c r="H878">
        <v>124.99</v>
      </c>
      <c r="I878">
        <v>256.89</v>
      </c>
      <c r="J878">
        <v>3.8</v>
      </c>
      <c r="K878">
        <v>4.6100000000000003</v>
      </c>
      <c r="L878">
        <v>1.1299999999999999</v>
      </c>
      <c r="M878">
        <v>1</v>
      </c>
      <c r="N878">
        <v>0</v>
      </c>
      <c r="O878" t="s">
        <v>20</v>
      </c>
    </row>
    <row r="879" spans="1:15" x14ac:dyDescent="0.35">
      <c r="A879" t="s">
        <v>15</v>
      </c>
      <c r="B879">
        <v>2022</v>
      </c>
      <c r="C879">
        <v>85</v>
      </c>
      <c r="D879" t="s">
        <v>16</v>
      </c>
      <c r="E879" t="s">
        <v>19</v>
      </c>
      <c r="F879">
        <v>9.0399999999999991</v>
      </c>
      <c r="G879">
        <v>56.99</v>
      </c>
      <c r="H879">
        <v>192.93</v>
      </c>
      <c r="I879">
        <v>141.63</v>
      </c>
      <c r="J879">
        <v>2.4900000000000002</v>
      </c>
      <c r="K879">
        <v>9.51</v>
      </c>
      <c r="L879">
        <v>2.3199999999999998</v>
      </c>
      <c r="M879">
        <v>1</v>
      </c>
      <c r="N879">
        <v>0</v>
      </c>
      <c r="O879" t="s">
        <v>20</v>
      </c>
    </row>
    <row r="880" spans="1:15" x14ac:dyDescent="0.35">
      <c r="A880" t="s">
        <v>15</v>
      </c>
      <c r="B880">
        <v>2022</v>
      </c>
      <c r="C880">
        <v>6</v>
      </c>
      <c r="D880" t="s">
        <v>21</v>
      </c>
      <c r="E880" t="s">
        <v>22</v>
      </c>
      <c r="F880">
        <v>7.37</v>
      </c>
      <c r="G880">
        <v>50.38</v>
      </c>
      <c r="H880">
        <v>126.79</v>
      </c>
      <c r="I880">
        <v>153.24</v>
      </c>
      <c r="J880">
        <v>3.04</v>
      </c>
      <c r="K880">
        <v>4.43</v>
      </c>
      <c r="L880">
        <v>1.08</v>
      </c>
      <c r="M880">
        <v>1</v>
      </c>
      <c r="N880">
        <v>0</v>
      </c>
      <c r="O880" t="s">
        <v>23</v>
      </c>
    </row>
    <row r="881" spans="1:15" x14ac:dyDescent="0.35">
      <c r="A881" t="s">
        <v>15</v>
      </c>
      <c r="B881">
        <v>2022</v>
      </c>
      <c r="C881">
        <v>34</v>
      </c>
      <c r="D881" t="s">
        <v>16</v>
      </c>
      <c r="E881" t="s">
        <v>17</v>
      </c>
      <c r="F881">
        <v>6.08</v>
      </c>
      <c r="G881">
        <v>56.3</v>
      </c>
      <c r="H881">
        <v>126.01</v>
      </c>
      <c r="I881">
        <v>202.91</v>
      </c>
      <c r="J881">
        <v>3.6</v>
      </c>
      <c r="K881">
        <v>6.91</v>
      </c>
      <c r="L881">
        <v>1.69</v>
      </c>
      <c r="M881">
        <v>0</v>
      </c>
      <c r="N881">
        <v>0</v>
      </c>
      <c r="O881" t="s">
        <v>20</v>
      </c>
    </row>
    <row r="882" spans="1:15" x14ac:dyDescent="0.35">
      <c r="A882" t="s">
        <v>15</v>
      </c>
      <c r="B882">
        <v>2022</v>
      </c>
      <c r="C882">
        <v>70</v>
      </c>
      <c r="D882" t="s">
        <v>16</v>
      </c>
      <c r="E882" t="s">
        <v>19</v>
      </c>
      <c r="F882">
        <v>10.15</v>
      </c>
      <c r="G882">
        <v>47.81</v>
      </c>
      <c r="H882">
        <v>184.73</v>
      </c>
      <c r="I882">
        <v>206.24</v>
      </c>
      <c r="J882">
        <v>4.3099999999999996</v>
      </c>
      <c r="K882">
        <v>8.36</v>
      </c>
      <c r="L882">
        <v>2.04</v>
      </c>
      <c r="M882">
        <v>1</v>
      </c>
      <c r="N882">
        <v>0</v>
      </c>
      <c r="O882" t="s">
        <v>20</v>
      </c>
    </row>
    <row r="883" spans="1:15" x14ac:dyDescent="0.35">
      <c r="A883" t="s">
        <v>15</v>
      </c>
      <c r="B883">
        <v>2022</v>
      </c>
      <c r="C883">
        <v>34</v>
      </c>
      <c r="D883" t="s">
        <v>16</v>
      </c>
      <c r="E883" t="s">
        <v>17</v>
      </c>
      <c r="F883">
        <v>7.07</v>
      </c>
      <c r="G883">
        <v>34.56</v>
      </c>
      <c r="H883">
        <v>152.5</v>
      </c>
      <c r="I883">
        <v>146.38999999999999</v>
      </c>
      <c r="J883">
        <v>4.24</v>
      </c>
      <c r="K883">
        <v>4.8499999999999996</v>
      </c>
      <c r="L883">
        <v>1.19</v>
      </c>
      <c r="M883">
        <v>1</v>
      </c>
      <c r="N883">
        <v>0</v>
      </c>
      <c r="O883" t="s">
        <v>18</v>
      </c>
    </row>
    <row r="884" spans="1:15" x14ac:dyDescent="0.35">
      <c r="A884" t="s">
        <v>15</v>
      </c>
      <c r="B884">
        <v>2022</v>
      </c>
      <c r="C884">
        <v>45</v>
      </c>
      <c r="D884" t="s">
        <v>16</v>
      </c>
      <c r="E884" t="s">
        <v>17</v>
      </c>
      <c r="F884">
        <v>8.3800000000000008</v>
      </c>
      <c r="G884">
        <v>29.2</v>
      </c>
      <c r="H884">
        <v>114.53</v>
      </c>
      <c r="I884">
        <v>146.27000000000001</v>
      </c>
      <c r="J884">
        <v>5.01</v>
      </c>
      <c r="K884">
        <v>10.15</v>
      </c>
      <c r="L884">
        <v>2.48</v>
      </c>
      <c r="M884">
        <v>1</v>
      </c>
      <c r="N884">
        <v>0</v>
      </c>
      <c r="O884" t="s">
        <v>23</v>
      </c>
    </row>
    <row r="885" spans="1:15" x14ac:dyDescent="0.35">
      <c r="A885" t="s">
        <v>15</v>
      </c>
      <c r="B885">
        <v>2022</v>
      </c>
      <c r="C885">
        <v>52</v>
      </c>
      <c r="D885" t="s">
        <v>16</v>
      </c>
      <c r="E885" t="s">
        <v>17</v>
      </c>
      <c r="F885">
        <v>9.5299999999999994</v>
      </c>
      <c r="G885">
        <v>44.19</v>
      </c>
      <c r="H885">
        <v>140.72999999999999</v>
      </c>
      <c r="I885">
        <v>212.99</v>
      </c>
      <c r="J885">
        <v>4.82</v>
      </c>
      <c r="K885">
        <v>3.65</v>
      </c>
      <c r="L885">
        <v>0.89</v>
      </c>
      <c r="M885">
        <v>1</v>
      </c>
      <c r="N885">
        <v>0</v>
      </c>
      <c r="O885" t="s">
        <v>20</v>
      </c>
    </row>
    <row r="886" spans="1:15" x14ac:dyDescent="0.35">
      <c r="A886" t="s">
        <v>15</v>
      </c>
      <c r="B886">
        <v>2022</v>
      </c>
      <c r="C886">
        <v>32</v>
      </c>
      <c r="D886" t="s">
        <v>16</v>
      </c>
      <c r="E886" t="s">
        <v>17</v>
      </c>
      <c r="F886">
        <v>7.73</v>
      </c>
      <c r="G886">
        <v>46.91</v>
      </c>
      <c r="H886">
        <v>169.91</v>
      </c>
      <c r="I886">
        <v>128.88</v>
      </c>
      <c r="J886">
        <v>2.75</v>
      </c>
      <c r="K886">
        <v>4.6399999999999997</v>
      </c>
      <c r="L886">
        <v>1.1299999999999999</v>
      </c>
      <c r="M886">
        <v>1</v>
      </c>
      <c r="N886">
        <v>0</v>
      </c>
      <c r="O886" t="s">
        <v>20</v>
      </c>
    </row>
    <row r="887" spans="1:15" x14ac:dyDescent="0.35">
      <c r="A887" t="s">
        <v>15</v>
      </c>
      <c r="B887">
        <v>2022</v>
      </c>
      <c r="C887">
        <v>45</v>
      </c>
      <c r="D887" t="s">
        <v>16</v>
      </c>
      <c r="E887" t="s">
        <v>17</v>
      </c>
      <c r="F887">
        <v>7.67</v>
      </c>
      <c r="G887">
        <v>58.63</v>
      </c>
      <c r="H887">
        <v>168.82</v>
      </c>
      <c r="I887">
        <v>237.67</v>
      </c>
      <c r="J887">
        <v>4.05</v>
      </c>
      <c r="K887">
        <v>9.2100000000000009</v>
      </c>
      <c r="L887">
        <v>2.25</v>
      </c>
      <c r="M887">
        <v>1</v>
      </c>
      <c r="N887">
        <v>0</v>
      </c>
      <c r="O887" t="s">
        <v>20</v>
      </c>
    </row>
    <row r="888" spans="1:15" x14ac:dyDescent="0.35">
      <c r="A888" t="s">
        <v>15</v>
      </c>
      <c r="B888">
        <v>2022</v>
      </c>
      <c r="C888">
        <v>56</v>
      </c>
      <c r="D888" t="s">
        <v>16</v>
      </c>
      <c r="E888" t="s">
        <v>17</v>
      </c>
      <c r="F888">
        <v>10.33</v>
      </c>
      <c r="G888">
        <v>55.01</v>
      </c>
      <c r="H888">
        <v>168.81</v>
      </c>
      <c r="I888">
        <v>164.37</v>
      </c>
      <c r="J888">
        <v>2.99</v>
      </c>
      <c r="K888">
        <v>10.06</v>
      </c>
      <c r="L888">
        <v>2.46</v>
      </c>
      <c r="M888">
        <v>1</v>
      </c>
      <c r="N888">
        <v>0</v>
      </c>
      <c r="O888" t="s">
        <v>20</v>
      </c>
    </row>
    <row r="889" spans="1:15" x14ac:dyDescent="0.35">
      <c r="A889" t="s">
        <v>15</v>
      </c>
      <c r="B889">
        <v>2022</v>
      </c>
      <c r="C889">
        <v>58</v>
      </c>
      <c r="D889" t="s">
        <v>16</v>
      </c>
      <c r="E889" t="s">
        <v>17</v>
      </c>
      <c r="F889">
        <v>8.61</v>
      </c>
      <c r="G889">
        <v>62.08</v>
      </c>
      <c r="H889">
        <v>181.73</v>
      </c>
      <c r="I889">
        <v>255.89</v>
      </c>
      <c r="J889">
        <v>4.12</v>
      </c>
      <c r="K889">
        <v>7.96</v>
      </c>
      <c r="L889">
        <v>1.95</v>
      </c>
      <c r="M889">
        <v>1</v>
      </c>
      <c r="N889">
        <v>0</v>
      </c>
      <c r="O889" t="s">
        <v>20</v>
      </c>
    </row>
    <row r="890" spans="1:15" x14ac:dyDescent="0.35">
      <c r="A890" t="s">
        <v>15</v>
      </c>
      <c r="B890">
        <v>2022</v>
      </c>
      <c r="C890">
        <v>21</v>
      </c>
      <c r="D890" t="s">
        <v>16</v>
      </c>
      <c r="E890" t="s">
        <v>17</v>
      </c>
      <c r="F890">
        <v>7.12</v>
      </c>
      <c r="G890">
        <v>55.78</v>
      </c>
      <c r="H890">
        <v>187.26</v>
      </c>
      <c r="I890">
        <v>265.70999999999998</v>
      </c>
      <c r="J890">
        <v>4.76</v>
      </c>
      <c r="K890">
        <v>7.57</v>
      </c>
      <c r="L890">
        <v>1.85</v>
      </c>
      <c r="M890">
        <v>1</v>
      </c>
      <c r="N890">
        <v>0</v>
      </c>
      <c r="O890" t="s">
        <v>20</v>
      </c>
    </row>
    <row r="891" spans="1:15" x14ac:dyDescent="0.35">
      <c r="A891" t="s">
        <v>15</v>
      </c>
      <c r="B891">
        <v>2022</v>
      </c>
      <c r="C891">
        <v>16</v>
      </c>
      <c r="D891" t="s">
        <v>16</v>
      </c>
      <c r="E891" t="s">
        <v>24</v>
      </c>
      <c r="F891">
        <v>7.1</v>
      </c>
      <c r="G891">
        <v>36.46</v>
      </c>
      <c r="H891">
        <v>211.24</v>
      </c>
      <c r="I891">
        <v>133.83000000000001</v>
      </c>
      <c r="J891">
        <v>3.67</v>
      </c>
      <c r="K891">
        <v>7.37</v>
      </c>
      <c r="L891">
        <v>1.8</v>
      </c>
      <c r="M891">
        <v>1</v>
      </c>
      <c r="N891">
        <v>0</v>
      </c>
      <c r="O891" t="s">
        <v>20</v>
      </c>
    </row>
    <row r="892" spans="1:15" x14ac:dyDescent="0.35">
      <c r="A892" t="s">
        <v>15</v>
      </c>
      <c r="B892">
        <v>2022</v>
      </c>
      <c r="C892">
        <v>58</v>
      </c>
      <c r="D892" t="s">
        <v>21</v>
      </c>
      <c r="E892" t="s">
        <v>17</v>
      </c>
      <c r="F892">
        <v>9.2200000000000006</v>
      </c>
      <c r="G892">
        <v>44.99</v>
      </c>
      <c r="H892">
        <v>156.44</v>
      </c>
      <c r="I892">
        <v>175.05</v>
      </c>
      <c r="J892">
        <v>3.89</v>
      </c>
      <c r="K892">
        <v>4.01</v>
      </c>
      <c r="L892">
        <v>0.98</v>
      </c>
      <c r="M892">
        <v>1</v>
      </c>
      <c r="N892">
        <v>0</v>
      </c>
      <c r="O892" t="s">
        <v>18</v>
      </c>
    </row>
    <row r="893" spans="1:15" x14ac:dyDescent="0.35">
      <c r="A893" t="s">
        <v>15</v>
      </c>
      <c r="B893">
        <v>2022</v>
      </c>
      <c r="C893">
        <v>4</v>
      </c>
      <c r="D893" t="s">
        <v>16</v>
      </c>
      <c r="E893" t="s">
        <v>22</v>
      </c>
      <c r="F893">
        <v>6.31</v>
      </c>
      <c r="G893">
        <v>47.15</v>
      </c>
      <c r="H893">
        <v>97.81</v>
      </c>
      <c r="I893">
        <v>161.35</v>
      </c>
      <c r="J893">
        <v>3.42</v>
      </c>
      <c r="K893">
        <v>8.7100000000000009</v>
      </c>
      <c r="L893">
        <v>2.13</v>
      </c>
      <c r="M893">
        <v>0</v>
      </c>
      <c r="N893">
        <v>0</v>
      </c>
      <c r="O893" t="s">
        <v>23</v>
      </c>
    </row>
    <row r="894" spans="1:15" x14ac:dyDescent="0.35">
      <c r="A894" t="s">
        <v>15</v>
      </c>
      <c r="B894">
        <v>2022</v>
      </c>
      <c r="C894">
        <v>32</v>
      </c>
      <c r="D894" t="s">
        <v>16</v>
      </c>
      <c r="E894" t="s">
        <v>17</v>
      </c>
      <c r="F894">
        <v>6.08</v>
      </c>
      <c r="G894">
        <v>44.74</v>
      </c>
      <c r="H894">
        <v>188.88</v>
      </c>
      <c r="I894">
        <v>305.93</v>
      </c>
      <c r="J894">
        <v>6.84</v>
      </c>
      <c r="K894">
        <v>3.16</v>
      </c>
      <c r="L894">
        <v>0.77</v>
      </c>
      <c r="M894">
        <v>0</v>
      </c>
      <c r="N894">
        <v>0</v>
      </c>
      <c r="O894" t="s">
        <v>20</v>
      </c>
    </row>
    <row r="895" spans="1:15" x14ac:dyDescent="0.35">
      <c r="A895" t="s">
        <v>15</v>
      </c>
      <c r="B895">
        <v>2022</v>
      </c>
      <c r="C895">
        <v>81</v>
      </c>
      <c r="D895" t="s">
        <v>16</v>
      </c>
      <c r="E895" t="s">
        <v>19</v>
      </c>
      <c r="F895">
        <v>7.76</v>
      </c>
      <c r="G895">
        <v>58.4</v>
      </c>
      <c r="H895">
        <v>151.77000000000001</v>
      </c>
      <c r="I895">
        <v>253.19</v>
      </c>
      <c r="J895">
        <v>4.34</v>
      </c>
      <c r="K895">
        <v>14.86</v>
      </c>
      <c r="L895">
        <v>3.63</v>
      </c>
      <c r="M895">
        <v>1</v>
      </c>
      <c r="N895">
        <v>1</v>
      </c>
      <c r="O895" t="s">
        <v>20</v>
      </c>
    </row>
    <row r="896" spans="1:15" x14ac:dyDescent="0.35">
      <c r="A896" t="s">
        <v>15</v>
      </c>
      <c r="B896">
        <v>2022</v>
      </c>
      <c r="C896">
        <v>23</v>
      </c>
      <c r="D896" t="s">
        <v>21</v>
      </c>
      <c r="E896" t="s">
        <v>17</v>
      </c>
      <c r="F896">
        <v>6.83</v>
      </c>
      <c r="G896">
        <v>64.61</v>
      </c>
      <c r="H896">
        <v>149.15</v>
      </c>
      <c r="I896">
        <v>224.71</v>
      </c>
      <c r="J896">
        <v>3.48</v>
      </c>
      <c r="K896">
        <v>3.52</v>
      </c>
      <c r="L896">
        <v>0.86</v>
      </c>
      <c r="M896">
        <v>1</v>
      </c>
      <c r="N896">
        <v>0</v>
      </c>
      <c r="O896" t="s">
        <v>20</v>
      </c>
    </row>
    <row r="897" spans="1:15" x14ac:dyDescent="0.35">
      <c r="A897" t="s">
        <v>15</v>
      </c>
      <c r="B897">
        <v>2022</v>
      </c>
      <c r="C897">
        <v>50</v>
      </c>
      <c r="D897" t="s">
        <v>21</v>
      </c>
      <c r="E897" t="s">
        <v>17</v>
      </c>
      <c r="F897">
        <v>7.3</v>
      </c>
      <c r="G897">
        <v>44.44</v>
      </c>
      <c r="H897">
        <v>176.9</v>
      </c>
      <c r="I897">
        <v>159.15</v>
      </c>
      <c r="J897">
        <v>3.58</v>
      </c>
      <c r="K897">
        <v>3.14</v>
      </c>
      <c r="L897">
        <v>0.77</v>
      </c>
      <c r="M897">
        <v>1</v>
      </c>
      <c r="N897">
        <v>0</v>
      </c>
      <c r="O897" t="s">
        <v>20</v>
      </c>
    </row>
    <row r="898" spans="1:15" x14ac:dyDescent="0.35">
      <c r="A898" t="s">
        <v>15</v>
      </c>
      <c r="B898">
        <v>2022</v>
      </c>
      <c r="C898">
        <v>85</v>
      </c>
      <c r="D898" t="s">
        <v>16</v>
      </c>
      <c r="E898" t="s">
        <v>19</v>
      </c>
      <c r="F898">
        <v>8.7200000000000006</v>
      </c>
      <c r="G898">
        <v>49.93</v>
      </c>
      <c r="H898">
        <v>151.49</v>
      </c>
      <c r="I898">
        <v>151.68</v>
      </c>
      <c r="J898">
        <v>3.04</v>
      </c>
      <c r="K898">
        <v>16.579999999999998</v>
      </c>
      <c r="L898">
        <v>4.05</v>
      </c>
      <c r="M898">
        <v>1</v>
      </c>
      <c r="N898">
        <v>1</v>
      </c>
      <c r="O898" t="s">
        <v>18</v>
      </c>
    </row>
    <row r="899" spans="1:15" x14ac:dyDescent="0.35">
      <c r="A899" t="s">
        <v>15</v>
      </c>
      <c r="B899">
        <v>2022</v>
      </c>
      <c r="C899">
        <v>48</v>
      </c>
      <c r="D899" t="s">
        <v>21</v>
      </c>
      <c r="E899" t="s">
        <v>17</v>
      </c>
      <c r="F899">
        <v>6.32</v>
      </c>
      <c r="G899">
        <v>70.099999999999994</v>
      </c>
      <c r="H899">
        <v>177.54</v>
      </c>
      <c r="I899">
        <v>268.58999999999997</v>
      </c>
      <c r="J899">
        <v>3.83</v>
      </c>
      <c r="K899">
        <v>2.16</v>
      </c>
      <c r="L899">
        <v>0.53</v>
      </c>
      <c r="M899">
        <v>0</v>
      </c>
      <c r="N899">
        <v>0</v>
      </c>
      <c r="O899" t="s">
        <v>20</v>
      </c>
    </row>
    <row r="900" spans="1:15" x14ac:dyDescent="0.35">
      <c r="A900" t="s">
        <v>15</v>
      </c>
      <c r="B900">
        <v>2022</v>
      </c>
      <c r="C900">
        <v>2</v>
      </c>
      <c r="D900" t="s">
        <v>21</v>
      </c>
      <c r="E900" t="s">
        <v>22</v>
      </c>
      <c r="F900">
        <v>6.82</v>
      </c>
      <c r="G900">
        <v>42.59</v>
      </c>
      <c r="H900">
        <v>138.41999999999999</v>
      </c>
      <c r="I900">
        <v>143.13</v>
      </c>
      <c r="J900">
        <v>3.36</v>
      </c>
      <c r="K900">
        <v>1.72</v>
      </c>
      <c r="L900">
        <v>0.42</v>
      </c>
      <c r="M900">
        <v>1</v>
      </c>
      <c r="N900">
        <v>0</v>
      </c>
      <c r="O900" t="s">
        <v>18</v>
      </c>
    </row>
    <row r="901" spans="1:15" x14ac:dyDescent="0.35">
      <c r="A901" t="s">
        <v>15</v>
      </c>
      <c r="B901">
        <v>2022</v>
      </c>
      <c r="C901">
        <v>31</v>
      </c>
      <c r="D901" t="s">
        <v>21</v>
      </c>
      <c r="E901" t="s">
        <v>17</v>
      </c>
      <c r="F901">
        <v>7.47</v>
      </c>
      <c r="G901">
        <v>39.31</v>
      </c>
      <c r="H901">
        <v>210.82</v>
      </c>
      <c r="I901">
        <v>184.48</v>
      </c>
      <c r="J901">
        <v>4.6900000000000004</v>
      </c>
      <c r="K901">
        <v>0.22</v>
      </c>
      <c r="L901">
        <v>0.05</v>
      </c>
      <c r="M901">
        <v>1</v>
      </c>
      <c r="N901">
        <v>0</v>
      </c>
      <c r="O901" t="s">
        <v>20</v>
      </c>
    </row>
    <row r="902" spans="1:15" x14ac:dyDescent="0.35">
      <c r="A902" t="s">
        <v>15</v>
      </c>
      <c r="B902">
        <v>2023</v>
      </c>
      <c r="C902">
        <v>35</v>
      </c>
      <c r="D902" t="s">
        <v>21</v>
      </c>
      <c r="E902" t="s">
        <v>17</v>
      </c>
      <c r="F902">
        <v>7.94</v>
      </c>
      <c r="G902">
        <v>42.38</v>
      </c>
      <c r="H902">
        <v>185.13</v>
      </c>
      <c r="I902">
        <v>189.26</v>
      </c>
      <c r="J902">
        <v>4.47</v>
      </c>
      <c r="K902">
        <v>11.03</v>
      </c>
      <c r="L902">
        <v>2.7</v>
      </c>
      <c r="M902">
        <v>1</v>
      </c>
      <c r="N902">
        <v>1</v>
      </c>
      <c r="O902" t="s">
        <v>20</v>
      </c>
    </row>
    <row r="903" spans="1:15" x14ac:dyDescent="0.35">
      <c r="A903" t="s">
        <v>15</v>
      </c>
      <c r="B903">
        <v>2023</v>
      </c>
      <c r="C903">
        <v>38</v>
      </c>
      <c r="D903" t="s">
        <v>21</v>
      </c>
      <c r="E903" t="s">
        <v>17</v>
      </c>
      <c r="F903">
        <v>9.23</v>
      </c>
      <c r="G903">
        <v>44.58</v>
      </c>
      <c r="H903">
        <v>168.83</v>
      </c>
      <c r="I903">
        <v>214.93</v>
      </c>
      <c r="J903">
        <v>4.82</v>
      </c>
      <c r="K903">
        <v>11.34</v>
      </c>
      <c r="L903">
        <v>2.77</v>
      </c>
      <c r="M903">
        <v>1</v>
      </c>
      <c r="N903">
        <v>1</v>
      </c>
      <c r="O903" t="s">
        <v>20</v>
      </c>
    </row>
    <row r="904" spans="1:15" x14ac:dyDescent="0.35">
      <c r="A904" t="s">
        <v>15</v>
      </c>
      <c r="B904">
        <v>2023</v>
      </c>
      <c r="C904">
        <v>83</v>
      </c>
      <c r="D904" t="s">
        <v>16</v>
      </c>
      <c r="E904" t="s">
        <v>19</v>
      </c>
      <c r="F904">
        <v>7.5</v>
      </c>
      <c r="G904">
        <v>58.78</v>
      </c>
      <c r="H904">
        <v>137.93</v>
      </c>
      <c r="I904">
        <v>116.72</v>
      </c>
      <c r="J904">
        <v>1.99</v>
      </c>
      <c r="K904">
        <v>10.26</v>
      </c>
      <c r="L904">
        <v>2.5099999999999998</v>
      </c>
      <c r="M904">
        <v>1</v>
      </c>
      <c r="N904">
        <v>1</v>
      </c>
      <c r="O904" t="s">
        <v>18</v>
      </c>
    </row>
    <row r="905" spans="1:15" x14ac:dyDescent="0.35">
      <c r="A905" t="s">
        <v>15</v>
      </c>
      <c r="B905">
        <v>2023</v>
      </c>
      <c r="C905">
        <v>66</v>
      </c>
      <c r="D905" t="s">
        <v>21</v>
      </c>
      <c r="E905" t="s">
        <v>19</v>
      </c>
      <c r="F905">
        <v>7.64</v>
      </c>
      <c r="G905">
        <v>47.83</v>
      </c>
      <c r="H905">
        <v>134.85</v>
      </c>
      <c r="I905">
        <v>195.85</v>
      </c>
      <c r="J905">
        <v>4.09</v>
      </c>
      <c r="K905">
        <v>12.03</v>
      </c>
      <c r="L905">
        <v>2.94</v>
      </c>
      <c r="M905">
        <v>1</v>
      </c>
      <c r="N905">
        <v>1</v>
      </c>
      <c r="O905" t="s">
        <v>18</v>
      </c>
    </row>
    <row r="906" spans="1:15" x14ac:dyDescent="0.35">
      <c r="A906" t="s">
        <v>15</v>
      </c>
      <c r="B906">
        <v>2023</v>
      </c>
      <c r="C906">
        <v>21</v>
      </c>
      <c r="D906" t="s">
        <v>21</v>
      </c>
      <c r="E906" t="s">
        <v>17</v>
      </c>
      <c r="F906">
        <v>6.77</v>
      </c>
      <c r="G906">
        <v>50.53</v>
      </c>
      <c r="H906">
        <v>204.13</v>
      </c>
      <c r="I906">
        <v>181.42</v>
      </c>
      <c r="J906">
        <v>3.59</v>
      </c>
      <c r="K906">
        <v>12.09</v>
      </c>
      <c r="L906">
        <v>2.96</v>
      </c>
      <c r="M906">
        <v>1</v>
      </c>
      <c r="N906">
        <v>1</v>
      </c>
      <c r="O906" t="s">
        <v>20</v>
      </c>
    </row>
    <row r="907" spans="1:15" x14ac:dyDescent="0.35">
      <c r="A907" t="s">
        <v>15</v>
      </c>
      <c r="B907">
        <v>2023</v>
      </c>
      <c r="C907">
        <v>4</v>
      </c>
      <c r="D907" t="s">
        <v>21</v>
      </c>
      <c r="E907" t="s">
        <v>22</v>
      </c>
      <c r="F907">
        <v>6.94</v>
      </c>
      <c r="G907">
        <v>54.25</v>
      </c>
      <c r="H907">
        <v>139.30000000000001</v>
      </c>
      <c r="I907">
        <v>102.62</v>
      </c>
      <c r="J907">
        <v>1.89</v>
      </c>
      <c r="K907">
        <v>12.2</v>
      </c>
      <c r="L907">
        <v>2.98</v>
      </c>
      <c r="M907">
        <v>1</v>
      </c>
      <c r="N907">
        <v>1</v>
      </c>
      <c r="O907" t="s">
        <v>18</v>
      </c>
    </row>
    <row r="908" spans="1:15" x14ac:dyDescent="0.35">
      <c r="A908" t="s">
        <v>15</v>
      </c>
      <c r="B908">
        <v>2023</v>
      </c>
      <c r="C908">
        <v>79</v>
      </c>
      <c r="D908" t="s">
        <v>21</v>
      </c>
      <c r="E908" t="s">
        <v>19</v>
      </c>
      <c r="F908">
        <v>10.71</v>
      </c>
      <c r="G908">
        <v>36.82</v>
      </c>
      <c r="H908">
        <v>166.17</v>
      </c>
      <c r="I908">
        <v>183.45</v>
      </c>
      <c r="J908">
        <v>4.9800000000000004</v>
      </c>
      <c r="K908">
        <v>12.21</v>
      </c>
      <c r="L908">
        <v>2.98</v>
      </c>
      <c r="M908">
        <v>1</v>
      </c>
      <c r="N908">
        <v>1</v>
      </c>
      <c r="O908" t="s">
        <v>20</v>
      </c>
    </row>
    <row r="909" spans="1:15" x14ac:dyDescent="0.35">
      <c r="A909" t="s">
        <v>15</v>
      </c>
      <c r="B909">
        <v>2023</v>
      </c>
      <c r="C909">
        <v>76</v>
      </c>
      <c r="D909" t="s">
        <v>21</v>
      </c>
      <c r="E909" t="s">
        <v>19</v>
      </c>
      <c r="F909">
        <v>10.43</v>
      </c>
      <c r="G909">
        <v>30.14</v>
      </c>
      <c r="H909">
        <v>155.72</v>
      </c>
      <c r="I909">
        <v>189.8</v>
      </c>
      <c r="J909">
        <v>6.3</v>
      </c>
      <c r="K909">
        <v>12.88</v>
      </c>
      <c r="L909">
        <v>3.15</v>
      </c>
      <c r="M909">
        <v>1</v>
      </c>
      <c r="N909">
        <v>1</v>
      </c>
      <c r="O909" t="s">
        <v>18</v>
      </c>
    </row>
    <row r="910" spans="1:15" x14ac:dyDescent="0.35">
      <c r="A910" t="s">
        <v>15</v>
      </c>
      <c r="B910">
        <v>2023</v>
      </c>
      <c r="C910">
        <v>40</v>
      </c>
      <c r="D910" t="s">
        <v>21</v>
      </c>
      <c r="E910" t="s">
        <v>17</v>
      </c>
      <c r="F910">
        <v>9.49</v>
      </c>
      <c r="G910">
        <v>50.35</v>
      </c>
      <c r="H910">
        <v>167.87</v>
      </c>
      <c r="I910">
        <v>274.19</v>
      </c>
      <c r="J910">
        <v>5.45</v>
      </c>
      <c r="K910">
        <v>13.4</v>
      </c>
      <c r="L910">
        <v>3.28</v>
      </c>
      <c r="M910">
        <v>1</v>
      </c>
      <c r="N910">
        <v>1</v>
      </c>
      <c r="O910" t="s">
        <v>20</v>
      </c>
    </row>
    <row r="911" spans="1:15" x14ac:dyDescent="0.35">
      <c r="A911" t="s">
        <v>15</v>
      </c>
      <c r="B911">
        <v>2023</v>
      </c>
      <c r="C911">
        <v>17</v>
      </c>
      <c r="D911" t="s">
        <v>16</v>
      </c>
      <c r="E911" t="s">
        <v>24</v>
      </c>
      <c r="F911">
        <v>8.5299999999999994</v>
      </c>
      <c r="G911">
        <v>44.49</v>
      </c>
      <c r="H911">
        <v>76.069999999999993</v>
      </c>
      <c r="I911">
        <v>220.27</v>
      </c>
      <c r="J911">
        <v>4.95</v>
      </c>
      <c r="K911">
        <v>10.57</v>
      </c>
      <c r="L911">
        <v>2.58</v>
      </c>
      <c r="M911">
        <v>1</v>
      </c>
      <c r="N911">
        <v>1</v>
      </c>
      <c r="O911" t="s">
        <v>20</v>
      </c>
    </row>
    <row r="912" spans="1:15" x14ac:dyDescent="0.35">
      <c r="A912" t="s">
        <v>15</v>
      </c>
      <c r="B912">
        <v>2023</v>
      </c>
      <c r="C912">
        <v>43</v>
      </c>
      <c r="D912" t="s">
        <v>21</v>
      </c>
      <c r="E912" t="s">
        <v>17</v>
      </c>
      <c r="F912">
        <v>8.5</v>
      </c>
      <c r="G912">
        <v>47.88</v>
      </c>
      <c r="H912">
        <v>145.9</v>
      </c>
      <c r="I912">
        <v>184.91</v>
      </c>
      <c r="J912">
        <v>3.86</v>
      </c>
      <c r="K912">
        <v>15.33</v>
      </c>
      <c r="L912">
        <v>3.75</v>
      </c>
      <c r="M912">
        <v>1</v>
      </c>
      <c r="N912">
        <v>1</v>
      </c>
      <c r="O912" t="s">
        <v>18</v>
      </c>
    </row>
    <row r="913" spans="1:15" x14ac:dyDescent="0.35">
      <c r="A913" t="s">
        <v>15</v>
      </c>
      <c r="B913">
        <v>2023</v>
      </c>
      <c r="C913">
        <v>75</v>
      </c>
      <c r="D913" t="s">
        <v>21</v>
      </c>
      <c r="E913" t="s">
        <v>19</v>
      </c>
      <c r="F913">
        <v>7.89</v>
      </c>
      <c r="G913">
        <v>63.14</v>
      </c>
      <c r="H913">
        <v>170.14</v>
      </c>
      <c r="I913">
        <v>184.2</v>
      </c>
      <c r="J913">
        <v>2.92</v>
      </c>
      <c r="K913">
        <v>15.33</v>
      </c>
      <c r="L913">
        <v>3.75</v>
      </c>
      <c r="M913">
        <v>1</v>
      </c>
      <c r="N913">
        <v>1</v>
      </c>
      <c r="O913" t="s">
        <v>20</v>
      </c>
    </row>
    <row r="914" spans="1:15" x14ac:dyDescent="0.35">
      <c r="A914" t="s">
        <v>15</v>
      </c>
      <c r="B914">
        <v>2023</v>
      </c>
      <c r="C914">
        <v>78</v>
      </c>
      <c r="D914" t="s">
        <v>21</v>
      </c>
      <c r="E914" t="s">
        <v>19</v>
      </c>
      <c r="F914">
        <v>6.65</v>
      </c>
      <c r="G914">
        <v>52.6</v>
      </c>
      <c r="H914">
        <v>183.52</v>
      </c>
      <c r="I914">
        <v>139.43</v>
      </c>
      <c r="J914">
        <v>2.65</v>
      </c>
      <c r="K914">
        <v>10.97</v>
      </c>
      <c r="L914">
        <v>2.68</v>
      </c>
      <c r="M914">
        <v>1</v>
      </c>
      <c r="N914">
        <v>1</v>
      </c>
      <c r="O914" t="s">
        <v>20</v>
      </c>
    </row>
    <row r="915" spans="1:15" x14ac:dyDescent="0.35">
      <c r="A915" t="s">
        <v>15</v>
      </c>
      <c r="B915">
        <v>2023</v>
      </c>
      <c r="C915">
        <v>25</v>
      </c>
      <c r="D915" t="s">
        <v>21</v>
      </c>
      <c r="E915" t="s">
        <v>17</v>
      </c>
      <c r="F915">
        <v>9.7899999999999991</v>
      </c>
      <c r="G915">
        <v>44.5</v>
      </c>
      <c r="H915">
        <v>160.96</v>
      </c>
      <c r="I915">
        <v>284.14</v>
      </c>
      <c r="J915">
        <v>6.38</v>
      </c>
      <c r="K915">
        <v>10.39</v>
      </c>
      <c r="L915">
        <v>2.54</v>
      </c>
      <c r="M915">
        <v>1</v>
      </c>
      <c r="N915">
        <v>1</v>
      </c>
      <c r="O915" t="s">
        <v>20</v>
      </c>
    </row>
    <row r="916" spans="1:15" x14ac:dyDescent="0.35">
      <c r="A916" t="s">
        <v>15</v>
      </c>
      <c r="B916">
        <v>2023</v>
      </c>
      <c r="C916">
        <v>4</v>
      </c>
      <c r="D916" t="s">
        <v>16</v>
      </c>
      <c r="E916" t="s">
        <v>22</v>
      </c>
      <c r="F916">
        <v>7.16</v>
      </c>
      <c r="G916">
        <v>37.770000000000003</v>
      </c>
      <c r="H916">
        <v>179.53</v>
      </c>
      <c r="I916">
        <v>89.23</v>
      </c>
      <c r="J916">
        <v>2.36</v>
      </c>
      <c r="K916">
        <v>10.8</v>
      </c>
      <c r="L916">
        <v>2.64</v>
      </c>
      <c r="M916">
        <v>1</v>
      </c>
      <c r="N916">
        <v>1</v>
      </c>
      <c r="O916" t="s">
        <v>20</v>
      </c>
    </row>
    <row r="917" spans="1:15" x14ac:dyDescent="0.35">
      <c r="A917" t="s">
        <v>15</v>
      </c>
      <c r="B917">
        <v>2023</v>
      </c>
      <c r="C917">
        <v>20</v>
      </c>
      <c r="D917" t="s">
        <v>16</v>
      </c>
      <c r="E917" t="s">
        <v>17</v>
      </c>
      <c r="F917">
        <v>7.07</v>
      </c>
      <c r="G917">
        <v>51.95</v>
      </c>
      <c r="H917">
        <v>182.9</v>
      </c>
      <c r="I917">
        <v>205.52</v>
      </c>
      <c r="J917">
        <v>3.96</v>
      </c>
      <c r="K917">
        <v>10.78</v>
      </c>
      <c r="L917">
        <v>2.64</v>
      </c>
      <c r="M917">
        <v>1</v>
      </c>
      <c r="N917">
        <v>1</v>
      </c>
      <c r="O917" t="s">
        <v>20</v>
      </c>
    </row>
    <row r="918" spans="1:15" x14ac:dyDescent="0.35">
      <c r="A918" t="s">
        <v>15</v>
      </c>
      <c r="B918">
        <v>2023</v>
      </c>
      <c r="C918">
        <v>70</v>
      </c>
      <c r="D918" t="s">
        <v>16</v>
      </c>
      <c r="E918" t="s">
        <v>19</v>
      </c>
      <c r="F918">
        <v>9.4700000000000006</v>
      </c>
      <c r="G918">
        <v>36.9</v>
      </c>
      <c r="H918">
        <v>178.34</v>
      </c>
      <c r="I918">
        <v>256.99</v>
      </c>
      <c r="J918">
        <v>6.97</v>
      </c>
      <c r="K918">
        <v>11.09</v>
      </c>
      <c r="L918">
        <v>2.71</v>
      </c>
      <c r="M918">
        <v>1</v>
      </c>
      <c r="N918">
        <v>1</v>
      </c>
      <c r="O918" t="s">
        <v>20</v>
      </c>
    </row>
    <row r="919" spans="1:15" x14ac:dyDescent="0.35">
      <c r="A919" t="s">
        <v>15</v>
      </c>
      <c r="B919">
        <v>2023</v>
      </c>
      <c r="C919">
        <v>19</v>
      </c>
      <c r="D919" t="s">
        <v>21</v>
      </c>
      <c r="E919" t="s">
        <v>24</v>
      </c>
      <c r="F919">
        <v>7.36</v>
      </c>
      <c r="G919">
        <v>53.62</v>
      </c>
      <c r="H919">
        <v>152.44999999999999</v>
      </c>
      <c r="I919">
        <v>216.07</v>
      </c>
      <c r="J919">
        <v>4.03</v>
      </c>
      <c r="K919">
        <v>9.39</v>
      </c>
      <c r="L919">
        <v>2.2999999999999998</v>
      </c>
      <c r="M919">
        <v>1</v>
      </c>
      <c r="N919">
        <v>0</v>
      </c>
      <c r="O919" t="s">
        <v>20</v>
      </c>
    </row>
    <row r="920" spans="1:15" x14ac:dyDescent="0.35">
      <c r="A920" t="s">
        <v>15</v>
      </c>
      <c r="B920">
        <v>2023</v>
      </c>
      <c r="C920">
        <v>39</v>
      </c>
      <c r="D920" t="s">
        <v>21</v>
      </c>
      <c r="E920" t="s">
        <v>17</v>
      </c>
      <c r="F920">
        <v>7.74</v>
      </c>
      <c r="G920">
        <v>50.77</v>
      </c>
      <c r="H920">
        <v>179.52</v>
      </c>
      <c r="I920">
        <v>163.79</v>
      </c>
      <c r="J920">
        <v>3.23</v>
      </c>
      <c r="K920">
        <v>8.77</v>
      </c>
      <c r="L920">
        <v>2.14</v>
      </c>
      <c r="M920">
        <v>1</v>
      </c>
      <c r="N920">
        <v>0</v>
      </c>
      <c r="O920" t="s">
        <v>20</v>
      </c>
    </row>
    <row r="921" spans="1:15" x14ac:dyDescent="0.35">
      <c r="A921" t="s">
        <v>15</v>
      </c>
      <c r="B921">
        <v>2023</v>
      </c>
      <c r="C921">
        <v>62</v>
      </c>
      <c r="D921" t="s">
        <v>21</v>
      </c>
      <c r="E921" t="s">
        <v>19</v>
      </c>
      <c r="F921">
        <v>11.82</v>
      </c>
      <c r="G921">
        <v>48.57</v>
      </c>
      <c r="H921">
        <v>173.98</v>
      </c>
      <c r="I921">
        <v>222.84</v>
      </c>
      <c r="J921">
        <v>4.59</v>
      </c>
      <c r="K921">
        <v>8.18</v>
      </c>
      <c r="L921">
        <v>2</v>
      </c>
      <c r="M921">
        <v>1</v>
      </c>
      <c r="N921">
        <v>0</v>
      </c>
      <c r="O921" t="s">
        <v>20</v>
      </c>
    </row>
    <row r="922" spans="1:15" x14ac:dyDescent="0.35">
      <c r="A922" t="s">
        <v>15</v>
      </c>
      <c r="B922">
        <v>2023</v>
      </c>
      <c r="C922">
        <v>1</v>
      </c>
      <c r="D922" t="s">
        <v>21</v>
      </c>
      <c r="E922" t="s">
        <v>22</v>
      </c>
      <c r="F922">
        <v>7.5</v>
      </c>
      <c r="G922">
        <v>37.65</v>
      </c>
      <c r="H922">
        <v>157.69999999999999</v>
      </c>
      <c r="I922">
        <v>261.2</v>
      </c>
      <c r="J922">
        <v>6.94</v>
      </c>
      <c r="K922">
        <v>7.87</v>
      </c>
      <c r="L922">
        <v>1.92</v>
      </c>
      <c r="M922">
        <v>1</v>
      </c>
      <c r="N922">
        <v>0</v>
      </c>
      <c r="O922" t="s">
        <v>20</v>
      </c>
    </row>
    <row r="923" spans="1:15" x14ac:dyDescent="0.35">
      <c r="A923" t="s">
        <v>15</v>
      </c>
      <c r="B923">
        <v>2023</v>
      </c>
      <c r="C923">
        <v>15</v>
      </c>
      <c r="D923" t="s">
        <v>21</v>
      </c>
      <c r="E923" t="s">
        <v>24</v>
      </c>
      <c r="F923">
        <v>8.65</v>
      </c>
      <c r="G923">
        <v>30.43</v>
      </c>
      <c r="H923">
        <v>166.68</v>
      </c>
      <c r="I923">
        <v>192.3</v>
      </c>
      <c r="J923">
        <v>6.32</v>
      </c>
      <c r="K923">
        <v>7.87</v>
      </c>
      <c r="L923">
        <v>1.92</v>
      </c>
      <c r="M923">
        <v>1</v>
      </c>
      <c r="N923">
        <v>0</v>
      </c>
      <c r="O923" t="s">
        <v>20</v>
      </c>
    </row>
    <row r="924" spans="1:15" x14ac:dyDescent="0.35">
      <c r="A924" t="s">
        <v>15</v>
      </c>
      <c r="B924">
        <v>2023</v>
      </c>
      <c r="C924">
        <v>79</v>
      </c>
      <c r="D924" t="s">
        <v>21</v>
      </c>
      <c r="E924" t="s">
        <v>19</v>
      </c>
      <c r="F924">
        <v>8.5299999999999994</v>
      </c>
      <c r="G924">
        <v>62.85</v>
      </c>
      <c r="H924">
        <v>200.94</v>
      </c>
      <c r="I924">
        <v>255.54</v>
      </c>
      <c r="J924">
        <v>4.07</v>
      </c>
      <c r="K924">
        <v>7.8</v>
      </c>
      <c r="L924">
        <v>1.91</v>
      </c>
      <c r="M924">
        <v>1</v>
      </c>
      <c r="N924">
        <v>0</v>
      </c>
      <c r="O924" t="s">
        <v>20</v>
      </c>
    </row>
    <row r="925" spans="1:15" x14ac:dyDescent="0.35">
      <c r="A925" t="s">
        <v>15</v>
      </c>
      <c r="B925">
        <v>2023</v>
      </c>
      <c r="C925">
        <v>28</v>
      </c>
      <c r="D925" t="s">
        <v>21</v>
      </c>
      <c r="E925" t="s">
        <v>17</v>
      </c>
      <c r="F925">
        <v>6.64</v>
      </c>
      <c r="G925">
        <v>55.42</v>
      </c>
      <c r="H925">
        <v>141.34</v>
      </c>
      <c r="I925">
        <v>125.07</v>
      </c>
      <c r="J925">
        <v>2.2599999999999998</v>
      </c>
      <c r="K925">
        <v>7.73</v>
      </c>
      <c r="L925">
        <v>1.89</v>
      </c>
      <c r="M925">
        <v>1</v>
      </c>
      <c r="N925">
        <v>0</v>
      </c>
      <c r="O925" t="s">
        <v>18</v>
      </c>
    </row>
    <row r="926" spans="1:15" x14ac:dyDescent="0.35">
      <c r="A926" t="s">
        <v>15</v>
      </c>
      <c r="B926">
        <v>2023</v>
      </c>
      <c r="C926">
        <v>27</v>
      </c>
      <c r="D926" t="s">
        <v>21</v>
      </c>
      <c r="E926" t="s">
        <v>17</v>
      </c>
      <c r="F926">
        <v>6.58</v>
      </c>
      <c r="G926">
        <v>54.7</v>
      </c>
      <c r="H926">
        <v>119.6</v>
      </c>
      <c r="I926">
        <v>351.05</v>
      </c>
      <c r="J926">
        <v>6.42</v>
      </c>
      <c r="K926">
        <v>7.56</v>
      </c>
      <c r="L926">
        <v>1.85</v>
      </c>
      <c r="M926">
        <v>1</v>
      </c>
      <c r="N926">
        <v>0</v>
      </c>
      <c r="O926" t="s">
        <v>20</v>
      </c>
    </row>
    <row r="927" spans="1:15" x14ac:dyDescent="0.35">
      <c r="A927" t="s">
        <v>15</v>
      </c>
      <c r="B927">
        <v>2023</v>
      </c>
      <c r="C927">
        <v>68</v>
      </c>
      <c r="D927" t="s">
        <v>16</v>
      </c>
      <c r="E927" t="s">
        <v>19</v>
      </c>
      <c r="F927">
        <v>8.83</v>
      </c>
      <c r="G927">
        <v>44.58</v>
      </c>
      <c r="H927">
        <v>143.07</v>
      </c>
      <c r="I927">
        <v>219.58</v>
      </c>
      <c r="J927">
        <v>4.93</v>
      </c>
      <c r="K927">
        <v>12.36</v>
      </c>
      <c r="L927">
        <v>3.02</v>
      </c>
      <c r="M927">
        <v>1</v>
      </c>
      <c r="N927">
        <v>1</v>
      </c>
      <c r="O927" t="s">
        <v>20</v>
      </c>
    </row>
    <row r="928" spans="1:15" x14ac:dyDescent="0.35">
      <c r="A928" t="s">
        <v>15</v>
      </c>
      <c r="B928">
        <v>2023</v>
      </c>
      <c r="C928">
        <v>80</v>
      </c>
      <c r="D928" t="s">
        <v>16</v>
      </c>
      <c r="E928" t="s">
        <v>19</v>
      </c>
      <c r="F928">
        <v>9.2200000000000006</v>
      </c>
      <c r="G928">
        <v>40.299999999999997</v>
      </c>
      <c r="H928">
        <v>164.12</v>
      </c>
      <c r="I928">
        <v>213.03</v>
      </c>
      <c r="J928">
        <v>5.29</v>
      </c>
      <c r="K928">
        <v>12.78</v>
      </c>
      <c r="L928">
        <v>3.13</v>
      </c>
      <c r="M928">
        <v>1</v>
      </c>
      <c r="N928">
        <v>1</v>
      </c>
      <c r="O928" t="s">
        <v>20</v>
      </c>
    </row>
    <row r="929" spans="1:15" x14ac:dyDescent="0.35">
      <c r="A929" t="s">
        <v>15</v>
      </c>
      <c r="B929">
        <v>2023</v>
      </c>
      <c r="C929">
        <v>29</v>
      </c>
      <c r="D929" t="s">
        <v>21</v>
      </c>
      <c r="E929" t="s">
        <v>17</v>
      </c>
      <c r="F929">
        <v>6.6</v>
      </c>
      <c r="G929">
        <v>48.96</v>
      </c>
      <c r="H929">
        <v>133.47</v>
      </c>
      <c r="I929">
        <v>202.67</v>
      </c>
      <c r="J929">
        <v>4.1399999999999997</v>
      </c>
      <c r="K929">
        <v>5.0999999999999996</v>
      </c>
      <c r="L929">
        <v>1.25</v>
      </c>
      <c r="M929">
        <v>1</v>
      </c>
      <c r="N929">
        <v>0</v>
      </c>
      <c r="O929" t="s">
        <v>20</v>
      </c>
    </row>
    <row r="930" spans="1:15" x14ac:dyDescent="0.35">
      <c r="A930" t="s">
        <v>15</v>
      </c>
      <c r="B930">
        <v>2023</v>
      </c>
      <c r="C930">
        <v>42</v>
      </c>
      <c r="D930" t="s">
        <v>21</v>
      </c>
      <c r="E930" t="s">
        <v>17</v>
      </c>
      <c r="F930">
        <v>8.9700000000000006</v>
      </c>
      <c r="G930">
        <v>46.23</v>
      </c>
      <c r="H930">
        <v>139.44</v>
      </c>
      <c r="I930">
        <v>173.64</v>
      </c>
      <c r="J930">
        <v>3.76</v>
      </c>
      <c r="K930">
        <v>4.4000000000000004</v>
      </c>
      <c r="L930">
        <v>1.07</v>
      </c>
      <c r="M930">
        <v>1</v>
      </c>
      <c r="N930">
        <v>0</v>
      </c>
      <c r="O930" t="s">
        <v>18</v>
      </c>
    </row>
    <row r="931" spans="1:15" x14ac:dyDescent="0.35">
      <c r="A931" t="s">
        <v>15</v>
      </c>
      <c r="B931">
        <v>2023</v>
      </c>
      <c r="C931">
        <v>5</v>
      </c>
      <c r="D931" t="s">
        <v>21</v>
      </c>
      <c r="E931" t="s">
        <v>22</v>
      </c>
      <c r="F931">
        <v>5.57</v>
      </c>
      <c r="G931">
        <v>60.58</v>
      </c>
      <c r="H931">
        <v>162.47</v>
      </c>
      <c r="I931">
        <v>201.69</v>
      </c>
      <c r="J931">
        <v>3.33</v>
      </c>
      <c r="K931">
        <v>4.17</v>
      </c>
      <c r="L931">
        <v>1.02</v>
      </c>
      <c r="M931">
        <v>0</v>
      </c>
      <c r="N931">
        <v>0</v>
      </c>
      <c r="O931" t="s">
        <v>20</v>
      </c>
    </row>
    <row r="932" spans="1:15" x14ac:dyDescent="0.35">
      <c r="A932" t="s">
        <v>15</v>
      </c>
      <c r="B932">
        <v>2023</v>
      </c>
      <c r="C932">
        <v>31</v>
      </c>
      <c r="D932" t="s">
        <v>21</v>
      </c>
      <c r="E932" t="s">
        <v>17</v>
      </c>
      <c r="F932">
        <v>7.3</v>
      </c>
      <c r="G932">
        <v>47.59</v>
      </c>
      <c r="H932">
        <v>152.91999999999999</v>
      </c>
      <c r="I932">
        <v>228.09</v>
      </c>
      <c r="J932">
        <v>4.79</v>
      </c>
      <c r="K932">
        <v>3.33</v>
      </c>
      <c r="L932">
        <v>0.81</v>
      </c>
      <c r="M932">
        <v>1</v>
      </c>
      <c r="N932">
        <v>0</v>
      </c>
      <c r="O932" t="s">
        <v>20</v>
      </c>
    </row>
    <row r="933" spans="1:15" x14ac:dyDescent="0.35">
      <c r="A933" t="s">
        <v>15</v>
      </c>
      <c r="B933">
        <v>2023</v>
      </c>
      <c r="C933">
        <v>84</v>
      </c>
      <c r="D933" t="s">
        <v>16</v>
      </c>
      <c r="E933" t="s">
        <v>19</v>
      </c>
      <c r="F933">
        <v>8.2200000000000006</v>
      </c>
      <c r="G933">
        <v>46.58</v>
      </c>
      <c r="H933">
        <v>170.41</v>
      </c>
      <c r="I933">
        <v>204.53</v>
      </c>
      <c r="J933">
        <v>4.3899999999999997</v>
      </c>
      <c r="K933">
        <v>6.8</v>
      </c>
      <c r="L933">
        <v>1.66</v>
      </c>
      <c r="M933">
        <v>1</v>
      </c>
      <c r="N933">
        <v>0</v>
      </c>
      <c r="O933" t="s">
        <v>20</v>
      </c>
    </row>
    <row r="934" spans="1:15" x14ac:dyDescent="0.35">
      <c r="A934" t="s">
        <v>15</v>
      </c>
      <c r="B934">
        <v>2023</v>
      </c>
      <c r="C934">
        <v>85</v>
      </c>
      <c r="D934" t="s">
        <v>16</v>
      </c>
      <c r="E934" t="s">
        <v>19</v>
      </c>
      <c r="F934">
        <v>8</v>
      </c>
      <c r="G934">
        <v>48.97</v>
      </c>
      <c r="H934">
        <v>148.93</v>
      </c>
      <c r="I934">
        <v>204.69</v>
      </c>
      <c r="J934">
        <v>4.18</v>
      </c>
      <c r="K934">
        <v>6.79</v>
      </c>
      <c r="L934">
        <v>1.66</v>
      </c>
      <c r="M934">
        <v>1</v>
      </c>
      <c r="N934">
        <v>0</v>
      </c>
      <c r="O934" t="s">
        <v>20</v>
      </c>
    </row>
    <row r="935" spans="1:15" x14ac:dyDescent="0.35">
      <c r="A935" t="s">
        <v>15</v>
      </c>
      <c r="B935">
        <v>2023</v>
      </c>
      <c r="C935">
        <v>43</v>
      </c>
      <c r="D935" t="s">
        <v>16</v>
      </c>
      <c r="E935" t="s">
        <v>17</v>
      </c>
      <c r="F935">
        <v>6.49</v>
      </c>
      <c r="G935">
        <v>51.88</v>
      </c>
      <c r="H935">
        <v>133.84</v>
      </c>
      <c r="I935">
        <v>163.92</v>
      </c>
      <c r="J935">
        <v>3.16</v>
      </c>
      <c r="K935">
        <v>6.07</v>
      </c>
      <c r="L935">
        <v>1.48</v>
      </c>
      <c r="M935">
        <v>0</v>
      </c>
      <c r="N935">
        <v>0</v>
      </c>
      <c r="O935" t="s">
        <v>18</v>
      </c>
    </row>
    <row r="936" spans="1:15" x14ac:dyDescent="0.35">
      <c r="A936" t="s">
        <v>15</v>
      </c>
      <c r="B936">
        <v>2023</v>
      </c>
      <c r="C936">
        <v>80</v>
      </c>
      <c r="D936" t="s">
        <v>16</v>
      </c>
      <c r="E936" t="s">
        <v>19</v>
      </c>
      <c r="F936">
        <v>8.4499999999999993</v>
      </c>
      <c r="G936">
        <v>40.5</v>
      </c>
      <c r="H936">
        <v>179.01</v>
      </c>
      <c r="I936">
        <v>217.98</v>
      </c>
      <c r="J936">
        <v>5.38</v>
      </c>
      <c r="K936">
        <v>8.35</v>
      </c>
      <c r="L936">
        <v>2.04</v>
      </c>
      <c r="M936">
        <v>1</v>
      </c>
      <c r="N936">
        <v>0</v>
      </c>
      <c r="O936" t="s">
        <v>20</v>
      </c>
    </row>
    <row r="937" spans="1:15" x14ac:dyDescent="0.35">
      <c r="A937" t="s">
        <v>15</v>
      </c>
      <c r="B937">
        <v>2023</v>
      </c>
      <c r="C937">
        <v>51</v>
      </c>
      <c r="D937" t="s">
        <v>16</v>
      </c>
      <c r="E937" t="s">
        <v>17</v>
      </c>
      <c r="F937">
        <v>8.0299999999999994</v>
      </c>
      <c r="G937">
        <v>32.08</v>
      </c>
      <c r="H937">
        <v>186.53</v>
      </c>
      <c r="I937">
        <v>223.24</v>
      </c>
      <c r="J937">
        <v>6.96</v>
      </c>
      <c r="K937">
        <v>4.2</v>
      </c>
      <c r="L937">
        <v>1.03</v>
      </c>
      <c r="M937">
        <v>1</v>
      </c>
      <c r="N937">
        <v>0</v>
      </c>
      <c r="O937" t="s">
        <v>20</v>
      </c>
    </row>
    <row r="938" spans="1:15" x14ac:dyDescent="0.35">
      <c r="A938" t="s">
        <v>15</v>
      </c>
      <c r="B938">
        <v>2023</v>
      </c>
      <c r="C938">
        <v>20</v>
      </c>
      <c r="D938" t="s">
        <v>16</v>
      </c>
      <c r="E938" t="s">
        <v>17</v>
      </c>
      <c r="F938">
        <v>7.69</v>
      </c>
      <c r="G938">
        <v>52.7</v>
      </c>
      <c r="H938">
        <v>152.15</v>
      </c>
      <c r="I938">
        <v>173.45</v>
      </c>
      <c r="J938">
        <v>3.29</v>
      </c>
      <c r="K938">
        <v>2.75</v>
      </c>
      <c r="L938">
        <v>0.67</v>
      </c>
      <c r="M938">
        <v>1</v>
      </c>
      <c r="N938">
        <v>0</v>
      </c>
      <c r="O938" t="s">
        <v>18</v>
      </c>
    </row>
    <row r="939" spans="1:15" x14ac:dyDescent="0.35">
      <c r="A939" t="s">
        <v>15</v>
      </c>
      <c r="B939">
        <v>2023</v>
      </c>
      <c r="C939">
        <v>67</v>
      </c>
      <c r="D939" t="s">
        <v>16</v>
      </c>
      <c r="E939" t="s">
        <v>19</v>
      </c>
      <c r="F939">
        <v>7.94</v>
      </c>
      <c r="G939">
        <v>43.45</v>
      </c>
      <c r="H939">
        <v>181.16</v>
      </c>
      <c r="I939">
        <v>242.6</v>
      </c>
      <c r="J939">
        <v>5.58</v>
      </c>
      <c r="K939">
        <v>7.01</v>
      </c>
      <c r="L939">
        <v>1.71</v>
      </c>
      <c r="M939">
        <v>1</v>
      </c>
      <c r="N939">
        <v>0</v>
      </c>
      <c r="O939" t="s">
        <v>20</v>
      </c>
    </row>
    <row r="940" spans="1:15" x14ac:dyDescent="0.35">
      <c r="A940" t="s">
        <v>15</v>
      </c>
      <c r="B940">
        <v>2023</v>
      </c>
      <c r="C940">
        <v>38</v>
      </c>
      <c r="D940" t="s">
        <v>16</v>
      </c>
      <c r="E940" t="s">
        <v>17</v>
      </c>
      <c r="F940">
        <v>7.67</v>
      </c>
      <c r="G940">
        <v>30.66</v>
      </c>
      <c r="H940">
        <v>167.67</v>
      </c>
      <c r="I940">
        <v>246</v>
      </c>
      <c r="J940">
        <v>8.02</v>
      </c>
      <c r="K940">
        <v>9.59</v>
      </c>
      <c r="L940">
        <v>2.34</v>
      </c>
      <c r="M940">
        <v>1</v>
      </c>
      <c r="N940">
        <v>0</v>
      </c>
      <c r="O940" t="s">
        <v>20</v>
      </c>
    </row>
    <row r="941" spans="1:15" x14ac:dyDescent="0.35">
      <c r="A941" t="s">
        <v>15</v>
      </c>
      <c r="B941">
        <v>2023</v>
      </c>
      <c r="C941">
        <v>32</v>
      </c>
      <c r="D941" t="s">
        <v>16</v>
      </c>
      <c r="E941" t="s">
        <v>17</v>
      </c>
      <c r="F941">
        <v>9.17</v>
      </c>
      <c r="G941">
        <v>33.35</v>
      </c>
      <c r="H941">
        <v>159.41999999999999</v>
      </c>
      <c r="I941">
        <v>248.81</v>
      </c>
      <c r="J941">
        <v>7.46</v>
      </c>
      <c r="K941">
        <v>5.85</v>
      </c>
      <c r="L941">
        <v>1.43</v>
      </c>
      <c r="M941">
        <v>1</v>
      </c>
      <c r="N941">
        <v>0</v>
      </c>
      <c r="O941" t="s">
        <v>20</v>
      </c>
    </row>
    <row r="942" spans="1:15" x14ac:dyDescent="0.35">
      <c r="A942" t="s">
        <v>15</v>
      </c>
      <c r="B942">
        <v>2023</v>
      </c>
      <c r="C942">
        <v>60</v>
      </c>
      <c r="D942" t="s">
        <v>16</v>
      </c>
      <c r="E942" t="s">
        <v>19</v>
      </c>
      <c r="F942">
        <v>9.08</v>
      </c>
      <c r="G942">
        <v>42.77</v>
      </c>
      <c r="H942">
        <v>207.11</v>
      </c>
      <c r="I942">
        <v>254.4</v>
      </c>
      <c r="J942">
        <v>5.95</v>
      </c>
      <c r="K942">
        <v>8.0399999999999991</v>
      </c>
      <c r="L942">
        <v>1.97</v>
      </c>
      <c r="M942">
        <v>1</v>
      </c>
      <c r="N942">
        <v>0</v>
      </c>
      <c r="O942" t="s">
        <v>20</v>
      </c>
    </row>
    <row r="943" spans="1:15" x14ac:dyDescent="0.35">
      <c r="A943" t="s">
        <v>15</v>
      </c>
      <c r="B943">
        <v>2023</v>
      </c>
      <c r="C943">
        <v>38</v>
      </c>
      <c r="D943" t="s">
        <v>16</v>
      </c>
      <c r="E943" t="s">
        <v>17</v>
      </c>
      <c r="F943">
        <v>8.1199999999999992</v>
      </c>
      <c r="G943">
        <v>50.66</v>
      </c>
      <c r="H943">
        <v>169.72</v>
      </c>
      <c r="I943">
        <v>177.58</v>
      </c>
      <c r="J943">
        <v>3.51</v>
      </c>
      <c r="K943">
        <v>7.07</v>
      </c>
      <c r="L943">
        <v>1.73</v>
      </c>
      <c r="M943">
        <v>1</v>
      </c>
      <c r="N943">
        <v>0</v>
      </c>
      <c r="O943" t="s">
        <v>20</v>
      </c>
    </row>
    <row r="944" spans="1:15" x14ac:dyDescent="0.35">
      <c r="A944" t="s">
        <v>15</v>
      </c>
      <c r="B944">
        <v>2023</v>
      </c>
      <c r="C944">
        <v>77</v>
      </c>
      <c r="D944" t="s">
        <v>16</v>
      </c>
      <c r="E944" t="s">
        <v>19</v>
      </c>
      <c r="F944">
        <v>8.7799999999999994</v>
      </c>
      <c r="G944">
        <v>20.82</v>
      </c>
      <c r="H944">
        <v>174.36</v>
      </c>
      <c r="I944">
        <v>197.34</v>
      </c>
      <c r="J944">
        <v>9.48</v>
      </c>
      <c r="K944">
        <v>10.18</v>
      </c>
      <c r="L944">
        <v>2.4900000000000002</v>
      </c>
      <c r="M944">
        <v>1</v>
      </c>
      <c r="N944">
        <v>0</v>
      </c>
      <c r="O944" t="s">
        <v>20</v>
      </c>
    </row>
    <row r="945" spans="1:15" x14ac:dyDescent="0.35">
      <c r="A945" t="s">
        <v>15</v>
      </c>
      <c r="B945">
        <v>2023</v>
      </c>
      <c r="C945">
        <v>67</v>
      </c>
      <c r="D945" t="s">
        <v>16</v>
      </c>
      <c r="E945" t="s">
        <v>19</v>
      </c>
      <c r="F945">
        <v>7.78</v>
      </c>
      <c r="G945">
        <v>49.84</v>
      </c>
      <c r="H945">
        <v>177.06</v>
      </c>
      <c r="I945">
        <v>174.18</v>
      </c>
      <c r="J945">
        <v>3.49</v>
      </c>
      <c r="K945">
        <v>5.71</v>
      </c>
      <c r="L945">
        <v>1.4</v>
      </c>
      <c r="M945">
        <v>1</v>
      </c>
      <c r="N945">
        <v>0</v>
      </c>
      <c r="O945" t="s">
        <v>20</v>
      </c>
    </row>
    <row r="946" spans="1:15" x14ac:dyDescent="0.35">
      <c r="A946" t="s">
        <v>15</v>
      </c>
      <c r="B946">
        <v>2023</v>
      </c>
      <c r="C946">
        <v>33</v>
      </c>
      <c r="D946" t="s">
        <v>16</v>
      </c>
      <c r="E946" t="s">
        <v>17</v>
      </c>
      <c r="F946">
        <v>7.23</v>
      </c>
      <c r="G946">
        <v>55.76</v>
      </c>
      <c r="H946">
        <v>178.7</v>
      </c>
      <c r="I946">
        <v>182.14</v>
      </c>
      <c r="J946">
        <v>3.27</v>
      </c>
      <c r="K946">
        <v>9.4600000000000009</v>
      </c>
      <c r="L946">
        <v>2.31</v>
      </c>
      <c r="M946">
        <v>1</v>
      </c>
      <c r="N946">
        <v>0</v>
      </c>
      <c r="O946" t="s">
        <v>20</v>
      </c>
    </row>
    <row r="947" spans="1:15" x14ac:dyDescent="0.35">
      <c r="A947" t="s">
        <v>15</v>
      </c>
      <c r="B947">
        <v>2023</v>
      </c>
      <c r="C947">
        <v>78</v>
      </c>
      <c r="D947" t="s">
        <v>16</v>
      </c>
      <c r="E947" t="s">
        <v>19</v>
      </c>
      <c r="F947">
        <v>6.68</v>
      </c>
      <c r="G947">
        <v>42.1</v>
      </c>
      <c r="H947">
        <v>193.3</v>
      </c>
      <c r="I947">
        <v>176.87</v>
      </c>
      <c r="J947">
        <v>4.2</v>
      </c>
      <c r="K947">
        <v>5.48</v>
      </c>
      <c r="L947">
        <v>1.34</v>
      </c>
      <c r="M947">
        <v>1</v>
      </c>
      <c r="N947">
        <v>0</v>
      </c>
      <c r="O947" t="s">
        <v>20</v>
      </c>
    </row>
    <row r="948" spans="1:15" x14ac:dyDescent="0.35">
      <c r="A948" t="s">
        <v>15</v>
      </c>
      <c r="B948">
        <v>2023</v>
      </c>
      <c r="C948">
        <v>2</v>
      </c>
      <c r="D948" t="s">
        <v>16</v>
      </c>
      <c r="E948" t="s">
        <v>22</v>
      </c>
      <c r="F948">
        <v>6.53</v>
      </c>
      <c r="G948">
        <v>44.45</v>
      </c>
      <c r="H948">
        <v>175.69</v>
      </c>
      <c r="I948">
        <v>213.94</v>
      </c>
      <c r="J948">
        <v>4.8099999999999996</v>
      </c>
      <c r="K948">
        <v>7.82</v>
      </c>
      <c r="L948">
        <v>1.91</v>
      </c>
      <c r="M948">
        <v>1</v>
      </c>
      <c r="N948">
        <v>0</v>
      </c>
      <c r="O948" t="s">
        <v>20</v>
      </c>
    </row>
    <row r="949" spans="1:15" x14ac:dyDescent="0.35">
      <c r="A949" t="s">
        <v>15</v>
      </c>
      <c r="B949">
        <v>2023</v>
      </c>
      <c r="C949">
        <v>4</v>
      </c>
      <c r="D949" t="s">
        <v>16</v>
      </c>
      <c r="E949" t="s">
        <v>22</v>
      </c>
      <c r="F949">
        <v>6.85</v>
      </c>
      <c r="G949">
        <v>39.76</v>
      </c>
      <c r="H949">
        <v>162.16</v>
      </c>
      <c r="I949">
        <v>152.74</v>
      </c>
      <c r="J949">
        <v>3.84</v>
      </c>
      <c r="K949">
        <v>4.95</v>
      </c>
      <c r="L949">
        <v>1.21</v>
      </c>
      <c r="M949">
        <v>1</v>
      </c>
      <c r="N949">
        <v>0</v>
      </c>
      <c r="O949" t="s">
        <v>20</v>
      </c>
    </row>
    <row r="950" spans="1:15" x14ac:dyDescent="0.35">
      <c r="A950" t="s">
        <v>15</v>
      </c>
      <c r="B950">
        <v>2023</v>
      </c>
      <c r="C950">
        <v>19</v>
      </c>
      <c r="D950" t="s">
        <v>16</v>
      </c>
      <c r="E950" t="s">
        <v>24</v>
      </c>
      <c r="F950">
        <v>9.6</v>
      </c>
      <c r="G950">
        <v>47.74</v>
      </c>
      <c r="H950">
        <v>181.88</v>
      </c>
      <c r="I950">
        <v>217.8</v>
      </c>
      <c r="J950">
        <v>4.5599999999999996</v>
      </c>
      <c r="K950">
        <v>5.73</v>
      </c>
      <c r="L950">
        <v>1.4</v>
      </c>
      <c r="M950">
        <v>1</v>
      </c>
      <c r="N950">
        <v>0</v>
      </c>
      <c r="O950" t="s">
        <v>20</v>
      </c>
    </row>
    <row r="951" spans="1:15" x14ac:dyDescent="0.35">
      <c r="A951" t="s">
        <v>15</v>
      </c>
      <c r="B951">
        <v>2023</v>
      </c>
      <c r="C951">
        <v>32</v>
      </c>
      <c r="D951" t="s">
        <v>21</v>
      </c>
      <c r="E951" t="s">
        <v>17</v>
      </c>
      <c r="F951">
        <v>7.13</v>
      </c>
      <c r="G951">
        <v>59.48</v>
      </c>
      <c r="H951">
        <v>149.76</v>
      </c>
      <c r="I951">
        <v>214.79</v>
      </c>
      <c r="J951">
        <v>3.61</v>
      </c>
      <c r="K951">
        <v>2.25</v>
      </c>
      <c r="L951">
        <v>0.55000000000000004</v>
      </c>
      <c r="M951">
        <v>1</v>
      </c>
      <c r="N951">
        <v>0</v>
      </c>
      <c r="O951" t="s">
        <v>20</v>
      </c>
    </row>
    <row r="952" spans="1:15" x14ac:dyDescent="0.35">
      <c r="A952" t="s">
        <v>15</v>
      </c>
      <c r="B952">
        <v>2024</v>
      </c>
      <c r="C952">
        <v>61</v>
      </c>
      <c r="D952" t="s">
        <v>21</v>
      </c>
      <c r="E952" t="s">
        <v>19</v>
      </c>
      <c r="F952">
        <v>8.5500000000000007</v>
      </c>
      <c r="G952">
        <v>44.22</v>
      </c>
      <c r="H952">
        <v>161.80000000000001</v>
      </c>
      <c r="I952">
        <v>197</v>
      </c>
      <c r="J952">
        <v>4.45</v>
      </c>
      <c r="K952">
        <v>11.81</v>
      </c>
      <c r="L952">
        <v>2.89</v>
      </c>
      <c r="M952">
        <v>1</v>
      </c>
      <c r="N952">
        <v>1</v>
      </c>
      <c r="O952" t="s">
        <v>20</v>
      </c>
    </row>
    <row r="953" spans="1:15" x14ac:dyDescent="0.35">
      <c r="A953" t="s">
        <v>15</v>
      </c>
      <c r="B953">
        <v>2024</v>
      </c>
      <c r="C953">
        <v>72</v>
      </c>
      <c r="D953" t="s">
        <v>21</v>
      </c>
      <c r="E953" t="s">
        <v>19</v>
      </c>
      <c r="F953">
        <v>8.59</v>
      </c>
      <c r="G953">
        <v>44.4</v>
      </c>
      <c r="H953">
        <v>148.83000000000001</v>
      </c>
      <c r="I953">
        <v>195.64</v>
      </c>
      <c r="J953">
        <v>4.41</v>
      </c>
      <c r="K953">
        <v>11.92</v>
      </c>
      <c r="L953">
        <v>2.91</v>
      </c>
      <c r="M953">
        <v>1</v>
      </c>
      <c r="N953">
        <v>1</v>
      </c>
      <c r="O953" t="s">
        <v>18</v>
      </c>
    </row>
    <row r="954" spans="1:15" x14ac:dyDescent="0.35">
      <c r="A954" t="s">
        <v>15</v>
      </c>
      <c r="B954">
        <v>2024</v>
      </c>
      <c r="C954">
        <v>42</v>
      </c>
      <c r="D954" t="s">
        <v>21</v>
      </c>
      <c r="E954" t="s">
        <v>17</v>
      </c>
      <c r="F954">
        <v>7.61</v>
      </c>
      <c r="G954">
        <v>40.74</v>
      </c>
      <c r="H954">
        <v>153.69</v>
      </c>
      <c r="I954">
        <v>264.91000000000003</v>
      </c>
      <c r="J954">
        <v>6.5</v>
      </c>
      <c r="K954">
        <v>12.36</v>
      </c>
      <c r="L954">
        <v>3.02</v>
      </c>
      <c r="M954">
        <v>1</v>
      </c>
      <c r="N954">
        <v>1</v>
      </c>
      <c r="O954" t="s">
        <v>20</v>
      </c>
    </row>
    <row r="955" spans="1:15" x14ac:dyDescent="0.35">
      <c r="A955" t="s">
        <v>15</v>
      </c>
      <c r="B955">
        <v>2024</v>
      </c>
      <c r="C955">
        <v>50</v>
      </c>
      <c r="D955" t="s">
        <v>21</v>
      </c>
      <c r="E955" t="s">
        <v>17</v>
      </c>
      <c r="F955">
        <v>8.17</v>
      </c>
      <c r="G955">
        <v>43.92</v>
      </c>
      <c r="H955">
        <v>184.57</v>
      </c>
      <c r="I955">
        <v>252.02</v>
      </c>
      <c r="J955">
        <v>5.74</v>
      </c>
      <c r="K955">
        <v>12.74</v>
      </c>
      <c r="L955">
        <v>3.11</v>
      </c>
      <c r="M955">
        <v>1</v>
      </c>
      <c r="N955">
        <v>1</v>
      </c>
      <c r="O955" t="s">
        <v>20</v>
      </c>
    </row>
    <row r="956" spans="1:15" x14ac:dyDescent="0.35">
      <c r="A956" t="s">
        <v>15</v>
      </c>
      <c r="B956">
        <v>2024</v>
      </c>
      <c r="C956">
        <v>11</v>
      </c>
      <c r="D956" t="s">
        <v>21</v>
      </c>
      <c r="E956" t="s">
        <v>22</v>
      </c>
      <c r="F956">
        <v>7.05</v>
      </c>
      <c r="G956">
        <v>36.97</v>
      </c>
      <c r="H956">
        <v>172.77</v>
      </c>
      <c r="I956">
        <v>144.59</v>
      </c>
      <c r="J956">
        <v>3.91</v>
      </c>
      <c r="K956">
        <v>10.44</v>
      </c>
      <c r="L956">
        <v>2.5499999999999998</v>
      </c>
      <c r="M956">
        <v>1</v>
      </c>
      <c r="N956">
        <v>1</v>
      </c>
      <c r="O956" t="s">
        <v>20</v>
      </c>
    </row>
    <row r="957" spans="1:15" x14ac:dyDescent="0.35">
      <c r="A957" t="s">
        <v>15</v>
      </c>
      <c r="B957">
        <v>2024</v>
      </c>
      <c r="C957">
        <v>14</v>
      </c>
      <c r="D957" t="s">
        <v>21</v>
      </c>
      <c r="E957" t="s">
        <v>24</v>
      </c>
      <c r="F957">
        <v>7.58</v>
      </c>
      <c r="G957">
        <v>46.39</v>
      </c>
      <c r="H957">
        <v>159.01</v>
      </c>
      <c r="I957">
        <v>252.38</v>
      </c>
      <c r="J957">
        <v>5.44</v>
      </c>
      <c r="K957">
        <v>10.32</v>
      </c>
      <c r="L957">
        <v>2.52</v>
      </c>
      <c r="M957">
        <v>1</v>
      </c>
      <c r="N957">
        <v>1</v>
      </c>
      <c r="O957" t="s">
        <v>20</v>
      </c>
    </row>
    <row r="958" spans="1:15" x14ac:dyDescent="0.35">
      <c r="A958" t="s">
        <v>15</v>
      </c>
      <c r="B958">
        <v>2024</v>
      </c>
      <c r="C958">
        <v>2</v>
      </c>
      <c r="D958" t="s">
        <v>21</v>
      </c>
      <c r="E958" t="s">
        <v>22</v>
      </c>
      <c r="F958">
        <v>7.79</v>
      </c>
      <c r="G958">
        <v>56.12</v>
      </c>
      <c r="H958">
        <v>125.92</v>
      </c>
      <c r="I958">
        <v>135.97999999999999</v>
      </c>
      <c r="J958">
        <v>2.42</v>
      </c>
      <c r="K958">
        <v>10.09</v>
      </c>
      <c r="L958">
        <v>2.4700000000000002</v>
      </c>
      <c r="M958">
        <v>1</v>
      </c>
      <c r="N958">
        <v>0</v>
      </c>
      <c r="O958" t="s">
        <v>23</v>
      </c>
    </row>
    <row r="959" spans="1:15" x14ac:dyDescent="0.35">
      <c r="A959" t="s">
        <v>15</v>
      </c>
      <c r="B959">
        <v>2024</v>
      </c>
      <c r="C959">
        <v>22</v>
      </c>
      <c r="D959" t="s">
        <v>21</v>
      </c>
      <c r="E959" t="s">
        <v>17</v>
      </c>
      <c r="F959">
        <v>8.4</v>
      </c>
      <c r="G959">
        <v>34.119999999999997</v>
      </c>
      <c r="H959">
        <v>181.41</v>
      </c>
      <c r="I959">
        <v>173.27</v>
      </c>
      <c r="J959">
        <v>5.08</v>
      </c>
      <c r="K959">
        <v>10.029999999999999</v>
      </c>
      <c r="L959">
        <v>2.4500000000000002</v>
      </c>
      <c r="M959">
        <v>1</v>
      </c>
      <c r="N959">
        <v>0</v>
      </c>
      <c r="O959" t="s">
        <v>20</v>
      </c>
    </row>
    <row r="960" spans="1:15" x14ac:dyDescent="0.35">
      <c r="A960" t="s">
        <v>15</v>
      </c>
      <c r="B960">
        <v>2024</v>
      </c>
      <c r="C960">
        <v>12</v>
      </c>
      <c r="D960" t="s">
        <v>21</v>
      </c>
      <c r="E960" t="s">
        <v>22</v>
      </c>
      <c r="F960">
        <v>9.33</v>
      </c>
      <c r="G960">
        <v>57.32</v>
      </c>
      <c r="H960">
        <v>155.06</v>
      </c>
      <c r="I960">
        <v>241.41</v>
      </c>
      <c r="J960">
        <v>4.21</v>
      </c>
      <c r="K960">
        <v>9.49</v>
      </c>
      <c r="L960">
        <v>2.3199999999999998</v>
      </c>
      <c r="M960">
        <v>1</v>
      </c>
      <c r="N960">
        <v>0</v>
      </c>
      <c r="O960" t="s">
        <v>20</v>
      </c>
    </row>
    <row r="961" spans="1:15" x14ac:dyDescent="0.35">
      <c r="A961" t="s">
        <v>15</v>
      </c>
      <c r="B961">
        <v>2024</v>
      </c>
      <c r="C961">
        <v>4</v>
      </c>
      <c r="D961" t="s">
        <v>21</v>
      </c>
      <c r="E961" t="s">
        <v>22</v>
      </c>
      <c r="F961">
        <v>6.38</v>
      </c>
      <c r="G961">
        <v>52.85</v>
      </c>
      <c r="H961">
        <v>170.9</v>
      </c>
      <c r="I961">
        <v>183.16</v>
      </c>
      <c r="J961">
        <v>3.47</v>
      </c>
      <c r="K961">
        <v>9.3000000000000007</v>
      </c>
      <c r="L961">
        <v>2.27</v>
      </c>
      <c r="M961">
        <v>0</v>
      </c>
      <c r="N961">
        <v>0</v>
      </c>
      <c r="O961" t="s">
        <v>20</v>
      </c>
    </row>
    <row r="962" spans="1:15" x14ac:dyDescent="0.35">
      <c r="A962" t="s">
        <v>15</v>
      </c>
      <c r="B962">
        <v>2024</v>
      </c>
      <c r="C962">
        <v>82</v>
      </c>
      <c r="D962" t="s">
        <v>21</v>
      </c>
      <c r="E962" t="s">
        <v>19</v>
      </c>
      <c r="F962">
        <v>8.85</v>
      </c>
      <c r="G962">
        <v>46.04</v>
      </c>
      <c r="H962">
        <v>152.93</v>
      </c>
      <c r="I962">
        <v>142.03</v>
      </c>
      <c r="J962">
        <v>3.08</v>
      </c>
      <c r="K962">
        <v>9.02</v>
      </c>
      <c r="L962">
        <v>2.21</v>
      </c>
      <c r="M962">
        <v>1</v>
      </c>
      <c r="N962">
        <v>0</v>
      </c>
      <c r="O962" t="s">
        <v>18</v>
      </c>
    </row>
    <row r="963" spans="1:15" x14ac:dyDescent="0.35">
      <c r="A963" t="s">
        <v>15</v>
      </c>
      <c r="B963">
        <v>2024</v>
      </c>
      <c r="C963">
        <v>75</v>
      </c>
      <c r="D963" t="s">
        <v>21</v>
      </c>
      <c r="E963" t="s">
        <v>19</v>
      </c>
      <c r="F963">
        <v>10.99</v>
      </c>
      <c r="G963">
        <v>42.23</v>
      </c>
      <c r="H963">
        <v>186.98</v>
      </c>
      <c r="I963">
        <v>150.52000000000001</v>
      </c>
      <c r="J963">
        <v>3.56</v>
      </c>
      <c r="K963">
        <v>8.9</v>
      </c>
      <c r="L963">
        <v>2.1800000000000002</v>
      </c>
      <c r="M963">
        <v>1</v>
      </c>
      <c r="N963">
        <v>0</v>
      </c>
      <c r="O963" t="s">
        <v>20</v>
      </c>
    </row>
    <row r="964" spans="1:15" x14ac:dyDescent="0.35">
      <c r="A964" t="s">
        <v>15</v>
      </c>
      <c r="B964">
        <v>2024</v>
      </c>
      <c r="C964">
        <v>43</v>
      </c>
      <c r="D964" t="s">
        <v>16</v>
      </c>
      <c r="E964" t="s">
        <v>17</v>
      </c>
      <c r="F964">
        <v>7.42</v>
      </c>
      <c r="G964">
        <v>27.21</v>
      </c>
      <c r="H964">
        <v>177.86</v>
      </c>
      <c r="I964">
        <v>178.49</v>
      </c>
      <c r="J964">
        <v>6.56</v>
      </c>
      <c r="K964">
        <v>11.4</v>
      </c>
      <c r="L964">
        <v>2.79</v>
      </c>
      <c r="M964">
        <v>1</v>
      </c>
      <c r="N964">
        <v>1</v>
      </c>
      <c r="O964" t="s">
        <v>20</v>
      </c>
    </row>
    <row r="965" spans="1:15" x14ac:dyDescent="0.35">
      <c r="A965" t="s">
        <v>15</v>
      </c>
      <c r="B965">
        <v>2024</v>
      </c>
      <c r="C965">
        <v>54</v>
      </c>
      <c r="D965" t="s">
        <v>21</v>
      </c>
      <c r="E965" t="s">
        <v>17</v>
      </c>
      <c r="F965">
        <v>8.51</v>
      </c>
      <c r="G965">
        <v>28.03</v>
      </c>
      <c r="H965">
        <v>222.6</v>
      </c>
      <c r="I965">
        <v>217.23</v>
      </c>
      <c r="J965">
        <v>7.75</v>
      </c>
      <c r="K965">
        <v>8.84</v>
      </c>
      <c r="L965">
        <v>2.16</v>
      </c>
      <c r="M965">
        <v>1</v>
      </c>
      <c r="N965">
        <v>0</v>
      </c>
      <c r="O965" t="s">
        <v>20</v>
      </c>
    </row>
    <row r="966" spans="1:15" x14ac:dyDescent="0.35">
      <c r="A966" t="s">
        <v>15</v>
      </c>
      <c r="B966">
        <v>2024</v>
      </c>
      <c r="C966">
        <v>8</v>
      </c>
      <c r="D966" t="s">
        <v>21</v>
      </c>
      <c r="E966" t="s">
        <v>22</v>
      </c>
      <c r="F966">
        <v>6.78</v>
      </c>
      <c r="G966">
        <v>46.97</v>
      </c>
      <c r="H966">
        <v>150.13</v>
      </c>
      <c r="I966">
        <v>186.47</v>
      </c>
      <c r="J966">
        <v>3.97</v>
      </c>
      <c r="K966">
        <v>8.61</v>
      </c>
      <c r="L966">
        <v>2.1</v>
      </c>
      <c r="M966">
        <v>1</v>
      </c>
      <c r="N966">
        <v>0</v>
      </c>
      <c r="O966" t="s">
        <v>18</v>
      </c>
    </row>
    <row r="967" spans="1:15" x14ac:dyDescent="0.35">
      <c r="A967" t="s">
        <v>15</v>
      </c>
      <c r="B967">
        <v>2024</v>
      </c>
      <c r="C967">
        <v>40</v>
      </c>
      <c r="D967" t="s">
        <v>21</v>
      </c>
      <c r="E967" t="s">
        <v>17</v>
      </c>
      <c r="F967">
        <v>7.77</v>
      </c>
      <c r="G967">
        <v>28.44</v>
      </c>
      <c r="H967">
        <v>152.56</v>
      </c>
      <c r="I967">
        <v>298.7</v>
      </c>
      <c r="J967">
        <v>10.5</v>
      </c>
      <c r="K967">
        <v>8.3699999999999992</v>
      </c>
      <c r="L967">
        <v>2.0499999999999998</v>
      </c>
      <c r="M967">
        <v>1</v>
      </c>
      <c r="N967">
        <v>0</v>
      </c>
      <c r="O967" t="s">
        <v>20</v>
      </c>
    </row>
    <row r="968" spans="1:15" x14ac:dyDescent="0.35">
      <c r="A968" t="s">
        <v>15</v>
      </c>
      <c r="B968">
        <v>2024</v>
      </c>
      <c r="C968">
        <v>9</v>
      </c>
      <c r="D968" t="s">
        <v>16</v>
      </c>
      <c r="E968" t="s">
        <v>22</v>
      </c>
      <c r="F968">
        <v>7.53</v>
      </c>
      <c r="G968">
        <v>27.92</v>
      </c>
      <c r="H968">
        <v>155.31</v>
      </c>
      <c r="I968">
        <v>202.97</v>
      </c>
      <c r="J968">
        <v>7.27</v>
      </c>
      <c r="K968">
        <v>11.52</v>
      </c>
      <c r="L968">
        <v>2.82</v>
      </c>
      <c r="M968">
        <v>1</v>
      </c>
      <c r="N968">
        <v>1</v>
      </c>
      <c r="O968" t="s">
        <v>20</v>
      </c>
    </row>
    <row r="969" spans="1:15" x14ac:dyDescent="0.35">
      <c r="A969" t="s">
        <v>15</v>
      </c>
      <c r="B969">
        <v>2024</v>
      </c>
      <c r="C969">
        <v>66</v>
      </c>
      <c r="D969" t="s">
        <v>21</v>
      </c>
      <c r="E969" t="s">
        <v>19</v>
      </c>
      <c r="F969">
        <v>7.72</v>
      </c>
      <c r="G969">
        <v>45.19</v>
      </c>
      <c r="H969">
        <v>129.9</v>
      </c>
      <c r="I969">
        <v>175.9</v>
      </c>
      <c r="J969">
        <v>3.89</v>
      </c>
      <c r="K969">
        <v>7.87</v>
      </c>
      <c r="L969">
        <v>1.92</v>
      </c>
      <c r="M969">
        <v>1</v>
      </c>
      <c r="N969">
        <v>0</v>
      </c>
      <c r="O969" t="s">
        <v>23</v>
      </c>
    </row>
    <row r="970" spans="1:15" x14ac:dyDescent="0.35">
      <c r="A970" t="s">
        <v>15</v>
      </c>
      <c r="B970">
        <v>2024</v>
      </c>
      <c r="C970">
        <v>54</v>
      </c>
      <c r="D970" t="s">
        <v>21</v>
      </c>
      <c r="E970" t="s">
        <v>17</v>
      </c>
      <c r="F970">
        <v>8.27</v>
      </c>
      <c r="G970">
        <v>36.729999999999997</v>
      </c>
      <c r="H970">
        <v>152.07</v>
      </c>
      <c r="I970">
        <v>251.52</v>
      </c>
      <c r="J970">
        <v>6.85</v>
      </c>
      <c r="K970">
        <v>7.76</v>
      </c>
      <c r="L970">
        <v>1.9</v>
      </c>
      <c r="M970">
        <v>1</v>
      </c>
      <c r="N970">
        <v>0</v>
      </c>
      <c r="O970" t="s">
        <v>20</v>
      </c>
    </row>
    <row r="971" spans="1:15" x14ac:dyDescent="0.35">
      <c r="A971" t="s">
        <v>15</v>
      </c>
      <c r="B971">
        <v>2024</v>
      </c>
      <c r="C971">
        <v>67</v>
      </c>
      <c r="D971" t="s">
        <v>21</v>
      </c>
      <c r="E971" t="s">
        <v>19</v>
      </c>
      <c r="F971">
        <v>7.94</v>
      </c>
      <c r="G971">
        <v>43.6</v>
      </c>
      <c r="H971">
        <v>146.18</v>
      </c>
      <c r="I971">
        <v>216.55</v>
      </c>
      <c r="J971">
        <v>4.97</v>
      </c>
      <c r="K971">
        <v>7.61</v>
      </c>
      <c r="L971">
        <v>1.86</v>
      </c>
      <c r="M971">
        <v>1</v>
      </c>
      <c r="N971">
        <v>0</v>
      </c>
      <c r="O971" t="s">
        <v>20</v>
      </c>
    </row>
    <row r="972" spans="1:15" x14ac:dyDescent="0.35">
      <c r="A972" t="s">
        <v>15</v>
      </c>
      <c r="B972">
        <v>2024</v>
      </c>
      <c r="C972">
        <v>85</v>
      </c>
      <c r="D972" t="s">
        <v>21</v>
      </c>
      <c r="E972" t="s">
        <v>19</v>
      </c>
      <c r="F972">
        <v>8.4</v>
      </c>
      <c r="G972">
        <v>42.83</v>
      </c>
      <c r="H972">
        <v>134.9</v>
      </c>
      <c r="I972">
        <v>179.81</v>
      </c>
      <c r="J972">
        <v>4.2</v>
      </c>
      <c r="K972">
        <v>7.4</v>
      </c>
      <c r="L972">
        <v>1.81</v>
      </c>
      <c r="M972">
        <v>1</v>
      </c>
      <c r="N972">
        <v>0</v>
      </c>
      <c r="O972" t="s">
        <v>18</v>
      </c>
    </row>
    <row r="973" spans="1:15" x14ac:dyDescent="0.35">
      <c r="A973" t="s">
        <v>15</v>
      </c>
      <c r="B973">
        <v>2024</v>
      </c>
      <c r="C973">
        <v>39</v>
      </c>
      <c r="D973" t="s">
        <v>16</v>
      </c>
      <c r="E973" t="s">
        <v>17</v>
      </c>
      <c r="F973">
        <v>6.7</v>
      </c>
      <c r="G973">
        <v>34.08</v>
      </c>
      <c r="H973">
        <v>151.49</v>
      </c>
      <c r="I973">
        <v>259.43</v>
      </c>
      <c r="J973">
        <v>7.61</v>
      </c>
      <c r="K973">
        <v>12.22</v>
      </c>
      <c r="L973">
        <v>2.99</v>
      </c>
      <c r="M973">
        <v>1</v>
      </c>
      <c r="N973">
        <v>1</v>
      </c>
      <c r="O973" t="s">
        <v>20</v>
      </c>
    </row>
    <row r="974" spans="1:15" x14ac:dyDescent="0.35">
      <c r="A974" t="s">
        <v>15</v>
      </c>
      <c r="B974">
        <v>2024</v>
      </c>
      <c r="C974">
        <v>69</v>
      </c>
      <c r="D974" t="s">
        <v>16</v>
      </c>
      <c r="E974" t="s">
        <v>19</v>
      </c>
      <c r="F974">
        <v>6.73</v>
      </c>
      <c r="G974">
        <v>33.18</v>
      </c>
      <c r="H974">
        <v>177.37</v>
      </c>
      <c r="I974">
        <v>235.4</v>
      </c>
      <c r="J974">
        <v>7.09</v>
      </c>
      <c r="K974">
        <v>12.27</v>
      </c>
      <c r="L974">
        <v>3</v>
      </c>
      <c r="M974">
        <v>1</v>
      </c>
      <c r="N974">
        <v>1</v>
      </c>
      <c r="O974" t="s">
        <v>20</v>
      </c>
    </row>
    <row r="975" spans="1:15" x14ac:dyDescent="0.35">
      <c r="A975" t="s">
        <v>15</v>
      </c>
      <c r="B975">
        <v>2024</v>
      </c>
      <c r="C975">
        <v>9</v>
      </c>
      <c r="D975" t="s">
        <v>21</v>
      </c>
      <c r="E975" t="s">
        <v>22</v>
      </c>
      <c r="F975">
        <v>7</v>
      </c>
      <c r="G975">
        <v>58.74</v>
      </c>
      <c r="H975">
        <v>153.88</v>
      </c>
      <c r="I975">
        <v>252.39</v>
      </c>
      <c r="J975">
        <v>4.3</v>
      </c>
      <c r="K975">
        <v>6.52</v>
      </c>
      <c r="L975">
        <v>1.59</v>
      </c>
      <c r="M975">
        <v>1</v>
      </c>
      <c r="N975">
        <v>0</v>
      </c>
      <c r="O975" t="s">
        <v>20</v>
      </c>
    </row>
    <row r="976" spans="1:15" x14ac:dyDescent="0.35">
      <c r="A976" t="s">
        <v>15</v>
      </c>
      <c r="B976">
        <v>2024</v>
      </c>
      <c r="C976">
        <v>9</v>
      </c>
      <c r="D976" t="s">
        <v>21</v>
      </c>
      <c r="E976" t="s">
        <v>22</v>
      </c>
      <c r="F976">
        <v>8.1999999999999993</v>
      </c>
      <c r="G976">
        <v>54.94</v>
      </c>
      <c r="H976">
        <v>165.81</v>
      </c>
      <c r="I976">
        <v>187.46</v>
      </c>
      <c r="J976">
        <v>3.41</v>
      </c>
      <c r="K976">
        <v>5.77</v>
      </c>
      <c r="L976">
        <v>1.41</v>
      </c>
      <c r="M976">
        <v>1</v>
      </c>
      <c r="N976">
        <v>0</v>
      </c>
      <c r="O976" t="s">
        <v>20</v>
      </c>
    </row>
    <row r="977" spans="1:15" x14ac:dyDescent="0.35">
      <c r="A977" t="s">
        <v>15</v>
      </c>
      <c r="B977">
        <v>2024</v>
      </c>
      <c r="C977">
        <v>15</v>
      </c>
      <c r="D977" t="s">
        <v>16</v>
      </c>
      <c r="E977" t="s">
        <v>24</v>
      </c>
      <c r="F977">
        <v>7.06</v>
      </c>
      <c r="G977">
        <v>43.48</v>
      </c>
      <c r="H977">
        <v>151.36000000000001</v>
      </c>
      <c r="I977">
        <v>103.34</v>
      </c>
      <c r="J977">
        <v>2.38</v>
      </c>
      <c r="K977">
        <v>13.05</v>
      </c>
      <c r="L977">
        <v>3.19</v>
      </c>
      <c r="M977">
        <v>1</v>
      </c>
      <c r="N977">
        <v>1</v>
      </c>
      <c r="O977" t="s">
        <v>18</v>
      </c>
    </row>
    <row r="978" spans="1:15" x14ac:dyDescent="0.35">
      <c r="A978" t="s">
        <v>15</v>
      </c>
      <c r="B978">
        <v>2024</v>
      </c>
      <c r="C978">
        <v>7</v>
      </c>
      <c r="D978" t="s">
        <v>21</v>
      </c>
      <c r="E978" t="s">
        <v>22</v>
      </c>
      <c r="F978">
        <v>7.03</v>
      </c>
      <c r="G978">
        <v>43.22</v>
      </c>
      <c r="H978">
        <v>192.74</v>
      </c>
      <c r="I978">
        <v>188.46</v>
      </c>
      <c r="J978">
        <v>4.3600000000000003</v>
      </c>
      <c r="K978">
        <v>5.65</v>
      </c>
      <c r="L978">
        <v>1.38</v>
      </c>
      <c r="M978">
        <v>1</v>
      </c>
      <c r="N978">
        <v>0</v>
      </c>
      <c r="O978" t="s">
        <v>20</v>
      </c>
    </row>
    <row r="979" spans="1:15" x14ac:dyDescent="0.35">
      <c r="A979" t="s">
        <v>15</v>
      </c>
      <c r="B979">
        <v>2024</v>
      </c>
      <c r="C979">
        <v>15</v>
      </c>
      <c r="D979" t="s">
        <v>21</v>
      </c>
      <c r="E979" t="s">
        <v>24</v>
      </c>
      <c r="F979">
        <v>8.92</v>
      </c>
      <c r="G979">
        <v>49.54</v>
      </c>
      <c r="H979">
        <v>124.39</v>
      </c>
      <c r="I979">
        <v>121.73</v>
      </c>
      <c r="J979">
        <v>2.46</v>
      </c>
      <c r="K979">
        <v>5.2</v>
      </c>
      <c r="L979">
        <v>1.27</v>
      </c>
      <c r="M979">
        <v>1</v>
      </c>
      <c r="N979">
        <v>0</v>
      </c>
      <c r="O979" t="s">
        <v>23</v>
      </c>
    </row>
    <row r="980" spans="1:15" x14ac:dyDescent="0.35">
      <c r="A980" t="s">
        <v>15</v>
      </c>
      <c r="B980">
        <v>2024</v>
      </c>
      <c r="C980">
        <v>28</v>
      </c>
      <c r="D980" t="s">
        <v>21</v>
      </c>
      <c r="E980" t="s">
        <v>17</v>
      </c>
      <c r="F980">
        <v>7.73</v>
      </c>
      <c r="G980">
        <v>40.4</v>
      </c>
      <c r="H980">
        <v>139.19999999999999</v>
      </c>
      <c r="I980">
        <v>224.5</v>
      </c>
      <c r="J980">
        <v>5.56</v>
      </c>
      <c r="K980">
        <v>3.7</v>
      </c>
      <c r="L980">
        <v>0.91</v>
      </c>
      <c r="M980">
        <v>1</v>
      </c>
      <c r="N980">
        <v>0</v>
      </c>
      <c r="O980" t="s">
        <v>20</v>
      </c>
    </row>
    <row r="981" spans="1:15" x14ac:dyDescent="0.35">
      <c r="A981" t="s">
        <v>15</v>
      </c>
      <c r="B981">
        <v>2024</v>
      </c>
      <c r="C981">
        <v>54</v>
      </c>
      <c r="D981" t="s">
        <v>16</v>
      </c>
      <c r="E981" t="s">
        <v>17</v>
      </c>
      <c r="F981">
        <v>7.94</v>
      </c>
      <c r="G981">
        <v>40.06</v>
      </c>
      <c r="H981">
        <v>123.43</v>
      </c>
      <c r="I981">
        <v>340.8</v>
      </c>
      <c r="J981">
        <v>8.51</v>
      </c>
      <c r="K981">
        <v>14.65</v>
      </c>
      <c r="L981">
        <v>3.58</v>
      </c>
      <c r="M981">
        <v>1</v>
      </c>
      <c r="N981">
        <v>1</v>
      </c>
      <c r="O981" t="s">
        <v>20</v>
      </c>
    </row>
    <row r="982" spans="1:15" x14ac:dyDescent="0.35">
      <c r="A982" t="s">
        <v>15</v>
      </c>
      <c r="B982">
        <v>2024</v>
      </c>
      <c r="C982">
        <v>18</v>
      </c>
      <c r="D982" t="s">
        <v>16</v>
      </c>
      <c r="E982" t="s">
        <v>24</v>
      </c>
      <c r="F982">
        <v>8.0299999999999994</v>
      </c>
      <c r="G982">
        <v>63.16</v>
      </c>
      <c r="H982">
        <v>177.9</v>
      </c>
      <c r="I982">
        <v>162.09</v>
      </c>
      <c r="J982">
        <v>2.57</v>
      </c>
      <c r="K982">
        <v>8.85</v>
      </c>
      <c r="L982">
        <v>2.16</v>
      </c>
      <c r="M982">
        <v>1</v>
      </c>
      <c r="N982">
        <v>0</v>
      </c>
      <c r="O982" t="s">
        <v>20</v>
      </c>
    </row>
    <row r="983" spans="1:15" x14ac:dyDescent="0.35">
      <c r="A983" t="s">
        <v>15</v>
      </c>
      <c r="B983">
        <v>2024</v>
      </c>
      <c r="C983">
        <v>27</v>
      </c>
      <c r="D983" t="s">
        <v>16</v>
      </c>
      <c r="E983" t="s">
        <v>17</v>
      </c>
      <c r="F983">
        <v>9.1199999999999992</v>
      </c>
      <c r="G983">
        <v>67</v>
      </c>
      <c r="H983">
        <v>181.59</v>
      </c>
      <c r="I983">
        <v>156.4</v>
      </c>
      <c r="J983">
        <v>2.33</v>
      </c>
      <c r="K983">
        <v>5.49</v>
      </c>
      <c r="L983">
        <v>1.34</v>
      </c>
      <c r="M983">
        <v>1</v>
      </c>
      <c r="N983">
        <v>0</v>
      </c>
      <c r="O983" t="s">
        <v>20</v>
      </c>
    </row>
    <row r="984" spans="1:15" x14ac:dyDescent="0.35">
      <c r="A984" t="s">
        <v>15</v>
      </c>
      <c r="B984">
        <v>2024</v>
      </c>
      <c r="C984">
        <v>12</v>
      </c>
      <c r="D984" t="s">
        <v>16</v>
      </c>
      <c r="E984" t="s">
        <v>22</v>
      </c>
      <c r="F984">
        <v>8.3000000000000007</v>
      </c>
      <c r="G984">
        <v>52.08</v>
      </c>
      <c r="H984">
        <v>149.71</v>
      </c>
      <c r="I984">
        <v>101.16</v>
      </c>
      <c r="J984">
        <v>1.94</v>
      </c>
      <c r="K984">
        <v>7.69</v>
      </c>
      <c r="L984">
        <v>1.88</v>
      </c>
      <c r="M984">
        <v>1</v>
      </c>
      <c r="N984">
        <v>0</v>
      </c>
      <c r="O984" t="s">
        <v>18</v>
      </c>
    </row>
    <row r="985" spans="1:15" x14ac:dyDescent="0.35">
      <c r="A985" t="s">
        <v>15</v>
      </c>
      <c r="B985">
        <v>2024</v>
      </c>
      <c r="C985">
        <v>66</v>
      </c>
      <c r="D985" t="s">
        <v>16</v>
      </c>
      <c r="E985" t="s">
        <v>19</v>
      </c>
      <c r="F985">
        <v>8.73</v>
      </c>
      <c r="G985">
        <v>50.56</v>
      </c>
      <c r="H985">
        <v>130.86000000000001</v>
      </c>
      <c r="I985">
        <v>148.88</v>
      </c>
      <c r="J985">
        <v>2.94</v>
      </c>
      <c r="K985">
        <v>5.89</v>
      </c>
      <c r="L985">
        <v>1.44</v>
      </c>
      <c r="M985">
        <v>1</v>
      </c>
      <c r="N985">
        <v>0</v>
      </c>
      <c r="O985" t="s">
        <v>18</v>
      </c>
    </row>
    <row r="986" spans="1:15" x14ac:dyDescent="0.35">
      <c r="A986" t="s">
        <v>15</v>
      </c>
      <c r="B986">
        <v>2024</v>
      </c>
      <c r="C986">
        <v>33</v>
      </c>
      <c r="D986" t="s">
        <v>16</v>
      </c>
      <c r="E986" t="s">
        <v>17</v>
      </c>
      <c r="F986">
        <v>7.31</v>
      </c>
      <c r="G986">
        <v>56.76</v>
      </c>
      <c r="H986">
        <v>164.84</v>
      </c>
      <c r="I986">
        <v>204.97</v>
      </c>
      <c r="J986">
        <v>3.61</v>
      </c>
      <c r="K986">
        <v>5.58</v>
      </c>
      <c r="L986">
        <v>1.36</v>
      </c>
      <c r="M986">
        <v>1</v>
      </c>
      <c r="N986">
        <v>0</v>
      </c>
      <c r="O986" t="s">
        <v>20</v>
      </c>
    </row>
    <row r="987" spans="1:15" x14ac:dyDescent="0.35">
      <c r="A987" t="s">
        <v>15</v>
      </c>
      <c r="B987">
        <v>2024</v>
      </c>
      <c r="C987">
        <v>75</v>
      </c>
      <c r="D987" t="s">
        <v>16</v>
      </c>
      <c r="E987" t="s">
        <v>19</v>
      </c>
      <c r="F987">
        <v>8.6999999999999993</v>
      </c>
      <c r="G987">
        <v>52.28</v>
      </c>
      <c r="H987">
        <v>186.19</v>
      </c>
      <c r="I987">
        <v>206.3</v>
      </c>
      <c r="J987">
        <v>3.95</v>
      </c>
      <c r="K987">
        <v>9.48</v>
      </c>
      <c r="L987">
        <v>2.3199999999999998</v>
      </c>
      <c r="M987">
        <v>1</v>
      </c>
      <c r="N987">
        <v>0</v>
      </c>
      <c r="O987" t="s">
        <v>20</v>
      </c>
    </row>
    <row r="988" spans="1:15" x14ac:dyDescent="0.35">
      <c r="A988" t="s">
        <v>15</v>
      </c>
      <c r="B988">
        <v>2024</v>
      </c>
      <c r="C988">
        <v>46</v>
      </c>
      <c r="D988" t="s">
        <v>16</v>
      </c>
      <c r="E988" t="s">
        <v>17</v>
      </c>
      <c r="F988">
        <v>7.42</v>
      </c>
      <c r="G988">
        <v>71.239999999999995</v>
      </c>
      <c r="H988">
        <v>170.41</v>
      </c>
      <c r="I988">
        <v>209.63</v>
      </c>
      <c r="J988">
        <v>2.94</v>
      </c>
      <c r="K988">
        <v>6.5</v>
      </c>
      <c r="L988">
        <v>1.59</v>
      </c>
      <c r="M988">
        <v>1</v>
      </c>
      <c r="N988">
        <v>0</v>
      </c>
      <c r="O988" t="s">
        <v>20</v>
      </c>
    </row>
    <row r="989" spans="1:15" x14ac:dyDescent="0.35">
      <c r="A989" t="s">
        <v>15</v>
      </c>
      <c r="B989">
        <v>2024</v>
      </c>
      <c r="C989">
        <v>42</v>
      </c>
      <c r="D989" t="s">
        <v>16</v>
      </c>
      <c r="E989" t="s">
        <v>17</v>
      </c>
      <c r="F989">
        <v>7.61</v>
      </c>
      <c r="G989">
        <v>58.34</v>
      </c>
      <c r="H989">
        <v>137</v>
      </c>
      <c r="I989">
        <v>185.93</v>
      </c>
      <c r="J989">
        <v>3.19</v>
      </c>
      <c r="K989">
        <v>8.73</v>
      </c>
      <c r="L989">
        <v>2.13</v>
      </c>
      <c r="M989">
        <v>1</v>
      </c>
      <c r="N989">
        <v>0</v>
      </c>
      <c r="O989" t="s">
        <v>18</v>
      </c>
    </row>
    <row r="990" spans="1:15" x14ac:dyDescent="0.35">
      <c r="A990" t="s">
        <v>15</v>
      </c>
      <c r="B990">
        <v>2024</v>
      </c>
      <c r="C990">
        <v>76</v>
      </c>
      <c r="D990" t="s">
        <v>16</v>
      </c>
      <c r="E990" t="s">
        <v>19</v>
      </c>
      <c r="F990">
        <v>10.08</v>
      </c>
      <c r="G990">
        <v>39.049999999999997</v>
      </c>
      <c r="H990">
        <v>156.13999999999999</v>
      </c>
      <c r="I990">
        <v>171.06</v>
      </c>
      <c r="J990">
        <v>4.38</v>
      </c>
      <c r="K990">
        <v>4.5599999999999996</v>
      </c>
      <c r="L990">
        <v>1.1200000000000001</v>
      </c>
      <c r="M990">
        <v>1</v>
      </c>
      <c r="N990">
        <v>0</v>
      </c>
      <c r="O990" t="s">
        <v>18</v>
      </c>
    </row>
    <row r="991" spans="1:15" x14ac:dyDescent="0.35">
      <c r="A991" t="s">
        <v>15</v>
      </c>
      <c r="B991">
        <v>2024</v>
      </c>
      <c r="C991">
        <v>49</v>
      </c>
      <c r="D991" t="s">
        <v>16</v>
      </c>
      <c r="E991" t="s">
        <v>17</v>
      </c>
      <c r="F991">
        <v>9.57</v>
      </c>
      <c r="G991">
        <v>37.119999999999997</v>
      </c>
      <c r="H991">
        <v>123.19</v>
      </c>
      <c r="I991">
        <v>236.67</v>
      </c>
      <c r="J991">
        <v>6.38</v>
      </c>
      <c r="K991">
        <v>9.8000000000000007</v>
      </c>
      <c r="L991">
        <v>2.39</v>
      </c>
      <c r="M991">
        <v>1</v>
      </c>
      <c r="N991">
        <v>0</v>
      </c>
      <c r="O991" t="s">
        <v>20</v>
      </c>
    </row>
    <row r="992" spans="1:15" x14ac:dyDescent="0.35">
      <c r="A992" t="s">
        <v>15</v>
      </c>
      <c r="B992">
        <v>2024</v>
      </c>
      <c r="C992">
        <v>76</v>
      </c>
      <c r="D992" t="s">
        <v>16</v>
      </c>
      <c r="E992" t="s">
        <v>19</v>
      </c>
      <c r="F992">
        <v>8.57</v>
      </c>
      <c r="G992">
        <v>57.48</v>
      </c>
      <c r="H992">
        <v>186.25</v>
      </c>
      <c r="I992">
        <v>253.56</v>
      </c>
      <c r="J992">
        <v>4.41</v>
      </c>
      <c r="K992">
        <v>9.6199999999999992</v>
      </c>
      <c r="L992">
        <v>2.35</v>
      </c>
      <c r="M992">
        <v>1</v>
      </c>
      <c r="N992">
        <v>0</v>
      </c>
      <c r="O992" t="s">
        <v>20</v>
      </c>
    </row>
    <row r="993" spans="1:15" x14ac:dyDescent="0.35">
      <c r="A993" t="s">
        <v>15</v>
      </c>
      <c r="B993">
        <v>2024</v>
      </c>
      <c r="C993">
        <v>76</v>
      </c>
      <c r="D993" t="s">
        <v>16</v>
      </c>
      <c r="E993" t="s">
        <v>19</v>
      </c>
      <c r="F993">
        <v>10.34</v>
      </c>
      <c r="G993">
        <v>55.16</v>
      </c>
      <c r="H993">
        <v>174.29</v>
      </c>
      <c r="I993">
        <v>185.24</v>
      </c>
      <c r="J993">
        <v>3.36</v>
      </c>
      <c r="K993">
        <v>8.0299999999999994</v>
      </c>
      <c r="L993">
        <v>1.96</v>
      </c>
      <c r="M993">
        <v>1</v>
      </c>
      <c r="N993">
        <v>0</v>
      </c>
      <c r="O993" t="s">
        <v>20</v>
      </c>
    </row>
    <row r="994" spans="1:15" x14ac:dyDescent="0.35">
      <c r="A994" t="s">
        <v>15</v>
      </c>
      <c r="B994">
        <v>2024</v>
      </c>
      <c r="C994">
        <v>23</v>
      </c>
      <c r="D994" t="s">
        <v>16</v>
      </c>
      <c r="E994" t="s">
        <v>17</v>
      </c>
      <c r="F994">
        <v>6.58</v>
      </c>
      <c r="G994">
        <v>57.64</v>
      </c>
      <c r="H994">
        <v>175.47</v>
      </c>
      <c r="I994">
        <v>151.61000000000001</v>
      </c>
      <c r="J994">
        <v>2.63</v>
      </c>
      <c r="K994">
        <v>8.99</v>
      </c>
      <c r="L994">
        <v>2.2000000000000002</v>
      </c>
      <c r="M994">
        <v>1</v>
      </c>
      <c r="N994">
        <v>0</v>
      </c>
      <c r="O994" t="s">
        <v>20</v>
      </c>
    </row>
    <row r="995" spans="1:15" x14ac:dyDescent="0.35">
      <c r="A995" t="s">
        <v>15</v>
      </c>
      <c r="B995">
        <v>2024</v>
      </c>
      <c r="C995">
        <v>54</v>
      </c>
      <c r="D995" t="s">
        <v>16</v>
      </c>
      <c r="E995" t="s">
        <v>17</v>
      </c>
      <c r="F995">
        <v>8.17</v>
      </c>
      <c r="G995">
        <v>46.31</v>
      </c>
      <c r="H995">
        <v>202.9</v>
      </c>
      <c r="I995">
        <v>265.04000000000002</v>
      </c>
      <c r="J995">
        <v>5.72</v>
      </c>
      <c r="K995">
        <v>7.99</v>
      </c>
      <c r="L995">
        <v>1.95</v>
      </c>
      <c r="M995">
        <v>1</v>
      </c>
      <c r="N995">
        <v>0</v>
      </c>
      <c r="O995" t="s">
        <v>20</v>
      </c>
    </row>
    <row r="996" spans="1:15" x14ac:dyDescent="0.35">
      <c r="A996" t="s">
        <v>15</v>
      </c>
      <c r="B996">
        <v>2024</v>
      </c>
      <c r="C996">
        <v>50</v>
      </c>
      <c r="D996" t="s">
        <v>16</v>
      </c>
      <c r="E996" t="s">
        <v>17</v>
      </c>
      <c r="F996">
        <v>8.5500000000000007</v>
      </c>
      <c r="G996">
        <v>59.29</v>
      </c>
      <c r="H996">
        <v>154.76</v>
      </c>
      <c r="I996">
        <v>265.45999999999998</v>
      </c>
      <c r="J996">
        <v>4.4800000000000004</v>
      </c>
      <c r="K996">
        <v>3.38</v>
      </c>
      <c r="L996">
        <v>0.83</v>
      </c>
      <c r="M996">
        <v>1</v>
      </c>
      <c r="N996">
        <v>0</v>
      </c>
      <c r="O996" t="s">
        <v>20</v>
      </c>
    </row>
    <row r="997" spans="1:15" x14ac:dyDescent="0.35">
      <c r="A997" t="s">
        <v>15</v>
      </c>
      <c r="B997">
        <v>2024</v>
      </c>
      <c r="C997">
        <v>17</v>
      </c>
      <c r="D997" t="s">
        <v>21</v>
      </c>
      <c r="E997" t="s">
        <v>24</v>
      </c>
      <c r="F997">
        <v>7.36</v>
      </c>
      <c r="G997">
        <v>51.57</v>
      </c>
      <c r="H997">
        <v>150.88</v>
      </c>
      <c r="I997">
        <v>222.05</v>
      </c>
      <c r="J997">
        <v>4.3099999999999996</v>
      </c>
      <c r="K997">
        <v>1.2</v>
      </c>
      <c r="L997">
        <v>0.28999999999999998</v>
      </c>
      <c r="M997">
        <v>1</v>
      </c>
      <c r="N997">
        <v>0</v>
      </c>
      <c r="O997" t="s">
        <v>20</v>
      </c>
    </row>
    <row r="998" spans="1:15" x14ac:dyDescent="0.35">
      <c r="A998" t="s">
        <v>15</v>
      </c>
      <c r="B998">
        <v>2024</v>
      </c>
      <c r="C998">
        <v>81</v>
      </c>
      <c r="D998" t="s">
        <v>16</v>
      </c>
      <c r="E998" t="s">
        <v>19</v>
      </c>
      <c r="F998">
        <v>8.2899999999999991</v>
      </c>
      <c r="G998">
        <v>44.7</v>
      </c>
      <c r="H998">
        <v>158.83000000000001</v>
      </c>
      <c r="I998">
        <v>274.92</v>
      </c>
      <c r="J998">
        <v>6.15</v>
      </c>
      <c r="K998">
        <v>9.92</v>
      </c>
      <c r="L998">
        <v>2.4300000000000002</v>
      </c>
      <c r="M998">
        <v>1</v>
      </c>
      <c r="N998">
        <v>0</v>
      </c>
      <c r="O998" t="s">
        <v>20</v>
      </c>
    </row>
    <row r="999" spans="1:15" x14ac:dyDescent="0.35">
      <c r="A999" t="s">
        <v>15</v>
      </c>
      <c r="B999">
        <v>2024</v>
      </c>
      <c r="C999">
        <v>14</v>
      </c>
      <c r="D999" t="s">
        <v>16</v>
      </c>
      <c r="E999" t="s">
        <v>24</v>
      </c>
      <c r="F999">
        <v>9.27</v>
      </c>
      <c r="G999">
        <v>62.34</v>
      </c>
      <c r="H999">
        <v>171.16</v>
      </c>
      <c r="I999">
        <v>164.86</v>
      </c>
      <c r="J999">
        <v>2.64</v>
      </c>
      <c r="K999">
        <v>6.1</v>
      </c>
      <c r="L999">
        <v>1.49</v>
      </c>
      <c r="M999">
        <v>1</v>
      </c>
      <c r="N999">
        <v>0</v>
      </c>
      <c r="O999" t="s">
        <v>20</v>
      </c>
    </row>
    <row r="1000" spans="1:15" x14ac:dyDescent="0.35">
      <c r="A1000" t="s">
        <v>15</v>
      </c>
      <c r="B1000">
        <v>2024</v>
      </c>
      <c r="C1000">
        <v>14</v>
      </c>
      <c r="D1000" t="s">
        <v>16</v>
      </c>
      <c r="E1000" t="s">
        <v>24</v>
      </c>
      <c r="F1000">
        <v>6.05</v>
      </c>
      <c r="G1000">
        <v>48.03</v>
      </c>
      <c r="H1000">
        <v>144.26</v>
      </c>
      <c r="I1000">
        <v>215.2</v>
      </c>
      <c r="J1000">
        <v>4.4800000000000004</v>
      </c>
      <c r="K1000">
        <v>8.08</v>
      </c>
      <c r="L1000">
        <v>1.97</v>
      </c>
      <c r="M1000">
        <v>0</v>
      </c>
      <c r="N1000">
        <v>0</v>
      </c>
      <c r="O1000" t="s">
        <v>20</v>
      </c>
    </row>
    <row r="1001" spans="1:15" x14ac:dyDescent="0.35">
      <c r="A1001" t="s">
        <v>15</v>
      </c>
      <c r="B1001">
        <v>2024</v>
      </c>
      <c r="C1001">
        <v>16</v>
      </c>
      <c r="D1001" t="s">
        <v>16</v>
      </c>
      <c r="E1001" t="s">
        <v>24</v>
      </c>
      <c r="F1001">
        <v>6.25</v>
      </c>
      <c r="G1001">
        <v>47.9</v>
      </c>
      <c r="H1001">
        <v>148.06</v>
      </c>
      <c r="I1001">
        <v>172.5</v>
      </c>
      <c r="J1001">
        <v>3.6</v>
      </c>
      <c r="K1001">
        <v>6.88</v>
      </c>
      <c r="L1001">
        <v>1.68</v>
      </c>
      <c r="M1001">
        <v>0</v>
      </c>
      <c r="N1001">
        <v>0</v>
      </c>
      <c r="O1001" t="s">
        <v>18</v>
      </c>
    </row>
  </sheetData>
  <autoFilter ref="A1:O1001" xr:uid="{00000000-0001-0000-0000-000000000000}">
    <sortState xmlns:xlrd2="http://schemas.microsoft.com/office/spreadsheetml/2017/richdata2" ref="A2:O1001">
      <sortCondition ref="B1:B10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definitions</vt:lpstr>
      <vt:lpstr>Sheet1</vt:lpstr>
      <vt:lpstr>Sheet3</vt:lpstr>
      <vt:lpstr>Sheet2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Tanvee Mehrotra</dc:creator>
  <cp:lastModifiedBy>Tanvee Mehrotra</cp:lastModifiedBy>
  <dcterms:created xsi:type="dcterms:W3CDTF">2015-06-05T18:17:20Z</dcterms:created>
  <dcterms:modified xsi:type="dcterms:W3CDTF">2026-05-04T20:47:07Z</dcterms:modified>
</cp:coreProperties>
</file>